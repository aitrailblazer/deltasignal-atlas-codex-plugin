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0ace4037bb4e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ker" sheetId="1" r:id="R353589e0e9e7453b"/>
    <x:sheet xmlns:r="http://schemas.openxmlformats.org/officeDocument/2006/relationships" name="Dashboard" sheetId="2" r:id="Rca7e31db7ec140fa"/>
    <x:sheet xmlns:r="http://schemas.openxmlformats.org/officeDocument/2006/relationships" name="Lists" sheetId="3" r:id="Rd29b073c71fa44a4"/>
    <x:sheet xmlns:r="http://schemas.openxmlformats.org/officeDocument/2006/relationships" name="Instructions" sheetId="4" r:id="R26ddf268eb6d40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12343B"/>
      <x:name val="Carlito"/>
    </x:font>
    <x:font>
      <x:b/>
      <x:sz val="16"/>
      <x:color rgb="FF12343B"/>
      <x:name val="Carlito"/>
    </x:font>
  </x:fonts>
  <x:fills count="2">
    <x:fill>
      <x:patternFill patternType="none"/>
    </x:fill>
    <x:fill>
      <x:patternFill patternType="gray125"/>
    </x:fill>
  </x:fills>
  <x:borders count="14">
    <x:border/>
    <x:border/>
    <x:border>
      <x:left style="thin">
        <x:color rgb="FFBFD6DB"/>
      </x:left>
      <x:right style="thin">
        <x:color rgb="FFBFD6DB"/>
      </x:right>
      <x:top style="thin">
        <x:color rgb="FFBFD6DB"/>
      </x:top>
      <x:bottom style="thin">
        <x:color rgb="FFBFD6DB"/>
      </x:bottom>
    </x:border>
    <x:border>
      <x:left style="thin">
        <x:color rgb="FFBFD6DB"/>
      </x:left>
      <x:right style="thin">
        <x:color rgb="FFBFD6DB"/>
      </x:right>
      <x:top style="thin">
        <x:color rgb="FFBFD6DB"/>
      </x:top>
      <x:bottom style="thin">
        <x:color rgb="FFBFD6DB"/>
      </x:bottom>
    </x:border>
    <x:border>
      <x:left style="thin">
        <x:color rgb="FFE8EFF2"/>
      </x:left>
      <x:right style="thin">
        <x:color rgb="FFE8EFF2"/>
      </x:right>
      <x:top style="thin">
        <x:color rgb="FFE8EFF2"/>
      </x:top>
      <x:bottom style="thin">
        <x:color rgb="FFE8EFF2"/>
      </x:bottom>
    </x:border>
    <x:border>
      <x:left style="thin">
        <x:color rgb="FFE8EFF2"/>
      </x:left>
      <x:right style="thin">
        <x:color rgb="FFE8EFF2"/>
      </x:right>
      <x:top style="thin">
        <x:color rgb="FFE8EFF2"/>
      </x:top>
      <x:bottom style="thin">
        <x:color rgb="FFE8EFF2"/>
      </x:bottom>
    </x:border>
    <x:border>
      <x:left style="medium">
        <x:color rgb="FF0B5D66"/>
      </x:left>
      <x:right style="medium">
        <x:color rgb="FF0B5D66"/>
      </x:right>
      <x:top style="medium">
        <x:color rgb="FF0B5D66"/>
      </x:top>
      <x:bottom style="medium">
        <x:color rgb="FF0B5D66"/>
      </x:bottom>
    </x:border>
    <x:border>
      <x:left style="medium">
        <x:color rgb="FF0B5D66"/>
      </x:left>
      <x:right style="medium">
        <x:color rgb="FF0B5D66"/>
      </x:right>
      <x:top style="medium">
        <x:color rgb="FF0B5D66"/>
      </x:top>
      <x:bottom style="medium">
        <x:color rgb="FF0B5D66"/>
      </x:bottom>
    </x:border>
    <x:border>
      <x:left style="thin">
        <x:color rgb="FFC9D8DE"/>
      </x:left>
      <x:right style="thin">
        <x:color rgb="FFC9D8DE"/>
      </x:right>
      <x:top style="thin">
        <x:color rgb="FFC9D8DE"/>
      </x:top>
      <x:bottom style="thin">
        <x:color rgb="FFC9D8DE"/>
      </x:bottom>
    </x:border>
    <x:border>
      <x:left style="thin">
        <x:color rgb="FFC9D8DE"/>
      </x:left>
      <x:right style="thin">
        <x:color rgb="FFC9D8DE"/>
      </x:right>
      <x:top style="thin">
        <x:color rgb="FFC9D8DE"/>
      </x:top>
      <x:bottom style="thin">
        <x:color rgb="FFC9D8DE"/>
      </x:bottom>
    </x:border>
    <x:border>
      <x:left style="thin">
        <x:color rgb="FFD6E2E6"/>
      </x:left>
      <x:right style="thin">
        <x:color rgb="FFD6E2E6"/>
      </x:right>
      <x:top style="thin">
        <x:color rgb="FFD6E2E6"/>
      </x:top>
      <x:bottom style="thin">
        <x:color rgb="FFD6E2E6"/>
      </x:bottom>
    </x:border>
    <x:border>
      <x:left style="thin">
        <x:color rgb="FFD6E2E6"/>
      </x:left>
      <x:right style="thin">
        <x:color rgb="FFD6E2E6"/>
      </x:right>
      <x:top style="thin">
        <x:color rgb="FFD6E2E6"/>
      </x:top>
      <x:bottom style="thin">
        <x:color rgb="FFD6E2E6"/>
      </x:bottom>
    </x:border>
    <x:border>
      <x:left style="thin">
        <x:color rgb="FFD7E2E6"/>
      </x:left>
      <x:right style="thin">
        <x:color rgb="FFD7E2E6"/>
      </x:right>
      <x:top style="thin">
        <x:color rgb="FFD7E2E6"/>
      </x:top>
      <x:bottom style="thin">
        <x:color rgb="FFD7E2E6"/>
      </x:bottom>
    </x:border>
    <x:border>
      <x:left style="thin">
        <x:color rgb="FFD7E2E6"/>
      </x:left>
      <x:right style="thin">
        <x:color rgb="FFD7E2E6"/>
      </x:right>
      <x:top style="thin">
        <x:color rgb="FFD7E2E6"/>
      </x:top>
      <x:bottom style="thin">
        <x:color rgb="FFD7E2E6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0" borderId="1" xfId="0" applyNumberFormat="1" applyFont="1" applyFill="0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1" borderId="1" xfId="0" applyNumberFormat="1" applyFont="1" applyFill="0" applyBorder="1" applyAlignment="1">
      <x:alignment wrapText="1"/>
    </x:xf>
    <x:xf numFmtId="0" fontId="1" borderId="2" xfId="0" applyNumberFormat="1" applyFont="1" applyFill="0" applyBorder="1" applyAlignment="1">
      <x:alignment wrapText="1"/>
    </x:xf>
    <x:xf numFmtId="0" fontId="1" borderId="3" xfId="0" applyNumberFormat="1" applyFont="1" applyFill="0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1" borderId="8" xfId="0" applyNumberFormat="1" applyFont="1" applyFill="0" applyBorder="1" applyAlignment="1">
      <x:alignment wrapText="1"/>
    </x:xf>
    <x:xf numFmtId="0" fontId="0" fillId="0" borderId="8" xfId="0" applyNumberFormat="1" applyFont="1" applyFill="1" applyBorder="1"/>
    <x:xf numFmtId="0" fontId="1" borderId="9" xfId="0" applyNumberFormat="1" applyFont="1" applyFill="0" applyBorder="1" applyAlignment="1">
      <x:alignment wrapText="1"/>
    </x:xf>
    <x:xf numFmtId="0" fontId="0" fillId="0" borderId="9" xfId="0" applyNumberFormat="1" applyFont="1" applyFill="1" applyBorder="1"/>
    <x:xf numFmtId="0" fontId="0" borderId="0" xfId="0" applyNumberFormat="1" applyFont="1" applyFill="0" applyBorder="1" applyAlignment="1">
      <x:alignment wrapText="1"/>
    </x:xf>
    <x:xf numFmtId="0" fontId="0" borderId="1" xfId="0" applyNumberFormat="1" applyFont="1" applyFill="0" applyBorder="1" applyAlignment="1">
      <x:alignment wrapText="1"/>
    </x:xf>
    <x:xf numFmtId="0" fontId="0" borderId="10" xfId="0" applyNumberFormat="1" applyFont="1" applyFill="0" applyBorder="1" applyAlignment="1">
      <x:alignment wrapText="1"/>
    </x:xf>
    <x:xf numFmtId="0" fontId="0" borderId="11" xfId="0" applyNumberFormat="1" applyFont="1" applyFill="0" applyBorder="1" applyAlignment="1">
      <x:alignment wrapText="1"/>
    </x:xf>
    <x:xf numFmtId="0" fontId="1" borderId="12" xfId="0" applyNumberFormat="1" applyFont="1" applyFill="0" applyBorder="1" applyAlignment="1">
      <x:alignment wrapText="1"/>
    </x:xf>
    <x:xf numFmtId="0" fontId="0" fillId="0" borderId="12" xfId="0" applyNumberFormat="1" applyFont="1" applyFill="1" applyBorder="1"/>
    <x:xf numFmtId="0" fontId="1" borderId="13" xfId="0" applyNumberFormat="1" applyFont="1" applyFill="0" applyBorder="1" applyAlignment="1">
      <x:alignment wrapText="1"/>
    </x:xf>
    <x:xf numFmtId="0" fontId="0" fillId="0" borderId="13" xfId="0" applyNumberFormat="1" applyFont="1" applyFill="1" applyBorder="1"/>
    <x:xf numFmtId="0" fontId="1" borderId="10" xfId="0" applyNumberFormat="1" applyFont="1" applyFill="0" applyBorder="1" applyAlignment="1">
      <x:alignment wrapText="1"/>
    </x:xf>
    <x:xf numFmtId="0" fontId="0" fillId="0" borderId="10" xfId="0" applyNumberFormat="1" applyFont="1" applyFill="1" applyBorder="1"/>
    <x:xf numFmtId="0" fontId="1" borderId="11" xfId="0" applyNumberFormat="1" applyFont="1" applyFill="0" applyBorder="1" applyAlignment="1">
      <x:alignment wrapText="1"/>
    </x:xf>
    <x:xf numFmtId="0" fontId="0" fillId="0" borderId="11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5bd9ce34f24bb5" /><Relationship Type="http://schemas.openxmlformats.org/officeDocument/2006/relationships/theme" Target="/xl/theme/theme1.xml" Id="Rc50228c8f65a44e2" /><Relationship Type="http://schemas.openxmlformats.org/officeDocument/2006/relationships/sharedStrings" Target="/xl/sharedStrings.xml" Id="R22f73a4b26d148a9" /><Relationship Type="http://schemas.openxmlformats.org/officeDocument/2006/relationships/worksheet" Target="/xl/worksheets/sheet1.xml" Id="R353589e0e9e7453b" /><Relationship Type="http://schemas.openxmlformats.org/officeDocument/2006/relationships/worksheet" Target="/xl/worksheets/sheet2.xml" Id="Rca7e31db7ec140fa" /><Relationship Type="http://schemas.openxmlformats.org/officeDocument/2006/relationships/worksheet" Target="/xl/worksheets/sheet3.xml" Id="Rd29b073c71fa44a4" /><Relationship Type="http://schemas.openxmlformats.org/officeDocument/2006/relationships/worksheet" Target="/xl/worksheets/sheet4.xml" Id="R26ddf268eb6d40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0" hidden="0" customWidth="1"/>
    <x:col min="4" max="4" width="28" hidden="0" customWidth="1"/>
    <x:col min="5" max="5" width="30" hidden="0" customWidth="1"/>
    <x:col min="6" max="6" width="16" hidden="0" customWidth="1"/>
    <x:col min="7" max="7" width="38" hidden="0" customWidth="1"/>
    <x:col min="8" max="8" width="38" hidden="0" customWidth="1"/>
    <x:col min="9" max="9" width="38" hidden="0" customWidth="1"/>
    <x:col min="10" max="10" width="18" hidden="0" customWidth="1"/>
    <x:col min="11" max="11" width="16" hidden="0" customWidth="1"/>
    <x:col min="12" max="12" width="32" hidden="0" customWidth="1"/>
    <x:col min="13" max="13" width="24" hidden="0" customWidth="1"/>
    <x:col min="14" max="14" width="28" hidden="0" customWidth="1"/>
    <x:col min="15" max="15" width="14" hidden="0" customWidth="1"/>
    <x:col min="16" max="16" width="16" hidden="0" customWidth="1"/>
    <x:col min="17" max="17" width="18" hidden="0" customWidth="1"/>
    <x:col min="18" max="18" width="24" hidden="0" customWidth="1"/>
    <x:col min="19" max="19" width="14" hidden="0" customWidth="1"/>
    <x:col min="20" max="20" width="28" hidden="0" customWidth="1"/>
    <x:col min="21" max="21" width="20" hidden="0" customWidth="1"/>
    <x:col min="22" max="22" width="18" hidden="0" customWidth="1"/>
    <x:col min="23" max="23" width="20" hidden="0" customWidth="1"/>
    <x:col min="24" max="24" width="24" hidden="0" customWidth="1"/>
    <x:col min="25" max="25" width="28" hidden="0" customWidth="1"/>
  </x:cols>
  <x:sheetData>
    <x:row r="1" ht="22" customHeight="1">
      <x:c r="A1" s="8" t="str">
        <x:v>Feature ID</x:v>
      </x:c>
      <x:c r="B1" s="8" t="str">
        <x:v>Feature Name</x:v>
      </x:c>
      <x:c r="C1" s="8" t="str">
        <x:v>Area / Module</x:v>
      </x:c>
      <x:c r="D1" s="8" t="str">
        <x:v>Source File(s)</x:v>
      </x:c>
      <x:c r="E1" s="8" t="str">
        <x:v>Route / Screen / Command / Entry Point</x:v>
      </x:c>
      <x:c r="F1" s="8" t="str">
        <x:v>User Type</x:v>
      </x:c>
      <x:c r="G1" s="8" t="str">
        <x:v>User Story</x:v>
      </x:c>
      <x:c r="H1" s="8" t="str">
        <x:v>Expected Behaviour</x:v>
      </x:c>
      <x:c r="I1" s="8" t="str">
        <x:v>Actual Behaviour</x:v>
      </x:c>
      <x:c r="J1" s="8" t="str">
        <x:v>Status</x:v>
      </x:c>
      <x:c r="K1" s="8" t="str">
        <x:v>Test Type</x:v>
      </x:c>
      <x:c r="L1" s="8" t="str">
        <x:v>Test Steps</x:v>
      </x:c>
      <x:c r="M1" s="8" t="str">
        <x:v>Test Result</x:v>
      </x:c>
      <x:c r="N1" s="8" t="str">
        <x:v>Error / Bug Found</x:v>
      </x:c>
      <x:c r="O1" s="8" t="str">
        <x:v>Severity</x:v>
      </x:c>
      <x:c r="P1" s="8" t="str">
        <x:v>Fix Required</x:v>
      </x:c>
      <x:c r="Q1" s="8" t="str">
        <x:v>Fix Implemented</x:v>
      </x:c>
      <x:c r="R1" s="8" t="str">
        <x:v>Files Changed</x:v>
      </x:c>
      <x:c r="S1" s="8" t="str">
        <x:v>Commit Hash</x:v>
      </x:c>
      <x:c r="T1" s="8" t="str">
        <x:v>Retest Steps</x:v>
      </x:c>
      <x:c r="U1" s="8" t="str">
        <x:v>Retest Result</x:v>
      </x:c>
      <x:c r="V1" s="8" t="str">
        <x:v>Final Status</x:v>
      </x:c>
      <x:c r="W1" s="8" t="str">
        <x:v>Product Decision Needed</x:v>
      </x:c>
      <x:c r="X1" s="8" t="str">
        <x:v>Notes</x:v>
      </x:c>
      <x:c r="Y1" s="8" t="str">
        <x:v>Original Prompt</x:v>
      </x:c>
    </x:row>
    <x:row r="2" ht="22" customHeight="1">
      <x:c r="A2" s="14" t="str">
        <x:v>PUB-001</x:v>
      </x:c>
      <x:c r="B2" s="14" t="str">
        <x:v>Canonical agent brief live verification anchor</x:v>
      </x:c>
      <x:c r="C2" s="14" t="str">
        <x:v>Public Agent Documentation</x:v>
      </x:c>
      <x:c r="D2" s="14" t="str">
        <x:v>llms-full.txt</x:v>
      </x:c>
      <x:c r="E2" s="14" t="str">
        <x:v>Public llms-full.txt</x:v>
      </x:c>
      <x:c r="F2" s="14" t="str">
        <x:v>Agent integrator</x:v>
      </x:c>
      <x:c r="G2" s="14" t="str">
        <x:v>As an agent integrator, I want the canonical brief to identify the latest verified production state, so that I do not treat older deployment evidence as current.</x:v>
      </x:c>
      <x:c r="H2" s="14" t="str">
        <x:v>The primary anchor reflects the July 15 calculation-plane evidence and July 16 discovery while retaining July 2 as historical context.</x:v>
      </x:c>
      <x:c r="I2" s="14" t="str">
        <x:v>The July 15 v11 brief still called the July 2 revision the most recent verification anchor.</x:v>
      </x:c>
      <x:c r="J2" s="14" t="str">
        <x:v>Fixed</x:v>
      </x:c>
      <x:c r="K2" s="14" t="str">
        <x:v>Static contract comparison and executable regression</x:v>
      </x:c>
      <x:c r="L2" s="14" t="str">
        <x:v>Compare llms-full.txt with live discovery and July 15 receipts.</x:v>
      </x:c>
      <x:c r="M2" s="14" t="str">
        <x:v>FAIL — primary verification anchor was stale.</x:v>
      </x:c>
      <x:c r="N2" s="14" t="str">
        <x:v>Latest-anchor heading and evidence were stale.</x:v>
      </x:c>
      <x:c r="O2" s="14" t="str">
        <x:v>High</x:v>
      </x:c>
      <x:c r="P2" s="14" t="str">
        <x:v>Yes</x:v>
      </x:c>
      <x:c r="Q2" s="14" t="str">
        <x:v>Promoted the July 15/16 verification block and retained July 2 as historical Synthetic AI10 context.</x:v>
      </x:c>
      <x:c r="R2" s="14" t="str">
        <x:v>llms-full.txt</x:v>
      </x:c>
      <x:c r="S2" s="14" t="str">
        <x:v>618ba15</x:v>
      </x:c>
      <x:c r="T2" s="14" t="str">
        <x:v>Parse public HTML/JSON/XML; compare documented OpenAPI and MCP counts with captured live discovery; run Circle buyer and MCP adapter tests.</x:v>
      </x:c>
      <x:c r="U2" s="14" t="str">
        <x:v>PASS — public artifacts parse; feeds and machine contracts are synchronized; live discovery confirms 68 paths / 81 tools / 26 semantic tools; buyer tests pass 4/4; Go adapter packages compile.</x:v>
      </x:c>
      <x:c r="V2" s="14" t="str">
        <x:v>Verified</x:v>
      </x:c>
      <x:c r="W2" s="14" t="str">
        <x:v>No</x:v>
      </x:c>
      <x:c r="X2" s="14" t="str">
        <x:v>Evidence: qa_evidence/commands/public-contract-refresh-20260716/. Canonical backend receipts: aitrailblazer-web-intel-mcp/qa_evidence/commands/current-deltasignal-audit-20260715/final_live_receipts.json.</x:v>
      </x:c>
      <x:c r="Y2" s="14" t="str">
        <x:v>Fix what is needed and finish.</x:v>
      </x:c>
    </x:row>
    <x:row r="3" ht="22" customHeight="1">
      <x:c r="A3" s="14" t="str">
        <x:v>PUB-002</x:v>
      </x:c>
      <x:c r="B3" s="14" t="str">
        <x:v>Landing-page OpenAPI and MCP inventory</x:v>
      </x:c>
      <x:c r="C3" s="14" t="str">
        <x:v>Public Landing Page</x:v>
      </x:c>
      <x:c r="D3" s="14" t="str">
        <x:v>index.html</x:v>
      </x:c>
      <x:c r="E3" s="14" t="str">
        <x:v>Live contract snapshot and reference cards</x:v>
      </x:c>
      <x:c r="F3" s="14" t="str">
        <x:v>Developer</x:v>
      </x:c>
      <x:c r="G3" s="14" t="str">
        <x:v>As a developer, I want the landing page to show the current live contract inventory, so that I can plan an integration accurately.</x:v>
      </x:c>
      <x:c r="H3" s="14" t="str">
        <x:v>Landing copy reports 68 paths, 81 tools, 26 semantic tools, 30 priced routes, and 47 fields.</x:v>
      </x:c>
      <x:c r="I3" s="14" t="str">
        <x:v>The landing page reported 48 paths and omitted the governed semantic catalog.</x:v>
      </x:c>
      <x:c r="J3" s="14" t="str">
        <x:v>Fixed</x:v>
      </x:c>
      <x:c r="K3" s="14" t="str">
        <x:v>Static contract comparison and executable regression</x:v>
      </x:c>
      <x:c r="L3" s="14" t="str">
        <x:v>Compare landing counts with captured live discovery.</x:v>
      </x:c>
      <x:c r="M3" s="14" t="str">
        <x:v>FAIL — documented route and tool inventory was stale.</x:v>
      </x:c>
      <x:c r="N3" s="14" t="str">
        <x:v>Stale public route and tool counts.</x:v>
      </x:c>
      <x:c r="O3" s="14" t="str">
        <x:v>High</x:v>
      </x:c>
      <x:c r="P3" s="14" t="str">
        <x:v>Yes</x:v>
      </x:c>
      <x:c r="Q3" s="14" t="str">
        <x:v>Updated both route claims and added the semantic MCP inventory.</x:v>
      </x:c>
      <x:c r="R3" s="14" t="str">
        <x:v>index.html</x:v>
      </x:c>
      <x:c r="S3" s="14" t="str">
        <x:v>618ba15</x:v>
      </x:c>
      <x:c r="T3" s="14" t="str">
        <x:v>Parse public HTML/JSON/XML; compare documented OpenAPI and MCP counts with captured live discovery; run Circle buyer and MCP adapter tests.</x:v>
      </x:c>
      <x:c r="U3" s="14" t="str">
        <x:v>PASS — public artifacts parse; feeds and machine contracts are synchronized; live discovery confirms 68 paths / 81 tools / 26 semantic tools; buyer tests pass 4/4; Go adapter packages compile.</x:v>
      </x:c>
      <x:c r="V3" s="14" t="str">
        <x:v>Verified</x:v>
      </x:c>
      <x:c r="W3" s="14" t="str">
        <x:v>No</x:v>
      </x:c>
      <x:c r="X3" s="14" t="str">
        <x:v>Evidence: qa_evidence/commands/public-contract-refresh-20260716/. Canonical backend receipts: aitrailblazer-web-intel-mcp/qa_evidence/commands/current-deltasignal-audit-20260715/final_live_receipts.json.</x:v>
      </x:c>
      <x:c r="Y3" s="14" t="str">
        <x:v>Fix what is needed and finish.</x:v>
      </x:c>
    </x:row>
    <x:row r="4" ht="22" customHeight="1">
      <x:c r="A4" s="14" t="str">
        <x:v>PUB-003</x:v>
      </x:c>
      <x:c r="B4" s="14" t="str">
        <x:v>Expanded issuer calculation-universe disclosure</x:v>
      </x:c>
      <x:c r="C4" s="14" t="str">
        <x:v>Public Coverage Documentation</x:v>
      </x:c>
      <x:c r="D4" s="14" t="str">
        <x:v>index.html; llms-full.txt; README.md</x:v>
      </x:c>
      <x:c r="E4" s="14" t="str">
        <x:v>Coverage and capability sections</x:v>
      </x:c>
      <x:c r="F4" s="14" t="str">
        <x:v>Research user</x:v>
      </x:c>
      <x:c r="G4" s="14" t="str">
        <x:v>As a research user, I want current calculation coverage separated from historical cohorts, so that I do not confuse an older snapshot with the active universe.</x:v>
      </x:c>
      <x:c r="H4" s="14" t="str">
        <x:v>Current copy identifies 378 issuers as 215 crypto-canonical plus 163 expanded issuers and labels 312/298 as historical.</x:v>
      </x:c>
      <x:c r="I4" s="14" t="str">
        <x:v>The public surfaces described the 312/298 snapshot as current expanded coverage.</x:v>
      </x:c>
      <x:c r="J4" s="14" t="str">
        <x:v>Fixed</x:v>
      </x:c>
      <x:c r="K4" s="14" t="str">
        <x:v>Static contract comparison and executable regression</x:v>
      </x:c>
      <x:c r="L4" s="14" t="str">
        <x:v>Compare coverage prose with the July 15 replay receipt.</x:v>
      </x:c>
      <x:c r="M4" s="14" t="str">
        <x:v>FAIL — current and historical cohorts were conflated.</x:v>
      </x:c>
      <x:c r="N4" s="14" t="str">
        <x:v>Coverage cohort drift.</x:v>
      </x:c>
      <x:c r="O4" s="14" t="str">
        <x:v>High</x:v>
      </x:c>
      <x:c r="P4" s="14" t="str">
        <x:v>Yes</x:v>
      </x:c>
      <x:c r="Q4" s="14" t="str">
        <x:v>Published the 378-row current universe and retained 312/298 only as historical context.</x:v>
      </x:c>
      <x:c r="R4" s="14" t="str">
        <x:v>index.html; llms-full.txt; README.md</x:v>
      </x:c>
      <x:c r="S4" s="14" t="str">
        <x:v>618ba15</x:v>
      </x:c>
      <x:c r="T4" s="14" t="str">
        <x:v>Parse public HTML/JSON/XML; compare documented OpenAPI and MCP counts with captured live discovery; run Circle buyer and MCP adapter tests.</x:v>
      </x:c>
      <x:c r="U4" s="14" t="str">
        <x:v>PASS — public artifacts parse; feeds and machine contracts are synchronized; live discovery confirms 68 paths / 81 tools / 26 semantic tools; buyer tests pass 4/4; Go adapter packages compile.</x:v>
      </x:c>
      <x:c r="V4" s="14" t="str">
        <x:v>Verified</x:v>
      </x:c>
      <x:c r="W4" s="14" t="str">
        <x:v>No</x:v>
      </x:c>
      <x:c r="X4" s="14" t="str">
        <x:v>Evidence: qa_evidence/commands/public-contract-refresh-20260716/. Canonical backend receipts: aitrailblazer-web-intel-mcp/qa_evidence/commands/current-deltasignal-audit-20260715/final_live_receipts.json.</x:v>
      </x:c>
      <x:c r="Y4" s="14" t="str">
        <x:v>Fix what is needed and finish.</x:v>
      </x:c>
    </x:row>
    <x:row r="5" ht="22" customHeight="1">
      <x:c r="A5" s="14" t="str">
        <x:v>PUB-004</x:v>
      </x:c>
      <x:c r="B5" s="14" t="str">
        <x:v>Level 2 replay and customer-audit receipts</x:v>
      </x:c>
      <x:c r="C5" s="14" t="str">
        <x:v>Public Evidence Documentation</x:v>
      </x:c>
      <x:c r="D5" s="14" t="str">
        <x:v>index.html; llms-full.txt; llms.txt; README.md</x:v>
      </x:c>
      <x:c r="E5" s="14" t="str">
        <x:v>July verification blocks</x:v>
      </x:c>
      <x:c r="F5" s="14" t="str">
        <x:v>Operator</x:v>
      </x:c>
      <x:c r="G5" s="14" t="str">
        <x:v>As an operator, I want bounded replay and audit receipts, so that I can distinguish calculation-plane completion from customer-route health.</x:v>
      </x:c>
      <x:c r="H5" s="14" t="str">
        <x:v>Public copy reports 378/378, 817,992 rows, 0 errors and separately 215 issuers, 1,935 operations, 1,923 successful, 0 failed.</x:v>
      </x:c>
      <x:c r="I5" s="14" t="str">
        <x:v>The final replay and zero-failure audit summary were absent.</x:v>
      </x:c>
      <x:c r="J5" s="14" t="str">
        <x:v>Fixed</x:v>
      </x:c>
      <x:c r="K5" s="14" t="str">
        <x:v>Static contract comparison and executable regression</x:v>
      </x:c>
      <x:c r="L5" s="14" t="str">
        <x:v>Compare public copy with final_live_receipts.json.</x:v>
      </x:c>
      <x:c r="M5" s="14" t="str">
        <x:v>FAIL — final operational receipts were missing.</x:v>
      </x:c>
      <x:c r="N5" s="14" t="str">
        <x:v>Current public operational evidence was incomplete.</x:v>
      </x:c>
      <x:c r="O5" s="14" t="str">
        <x:v>High</x:v>
      </x:c>
      <x:c r="P5" s="14" t="str">
        <x:v>Yes</x:v>
      </x:c>
      <x:c r="Q5" s="14" t="str">
        <x:v>Added bounded replay/audit receipts and an explicit scope boundary.</x:v>
      </x:c>
      <x:c r="R5" s="14" t="str">
        <x:v>index.html; llms-full.txt; llms.txt; README.md</x:v>
      </x:c>
      <x:c r="S5" s="14" t="str">
        <x:v>618ba15</x:v>
      </x:c>
      <x:c r="T5" s="14" t="str">
        <x:v>Parse public HTML/JSON/XML; compare documented OpenAPI and MCP counts with captured live discovery; run Circle buyer and MCP adapter tests.</x:v>
      </x:c>
      <x:c r="U5" s="14" t="str">
        <x:v>PASS — public artifacts parse; feeds and machine contracts are synchronized; live discovery confirms 68 paths / 81 tools / 26 semantic tools; buyer tests pass 4/4; Go adapter packages compile.</x:v>
      </x:c>
      <x:c r="V5" s="14" t="str">
        <x:v>Verified</x:v>
      </x:c>
      <x:c r="W5" s="14" t="str">
        <x:v>No</x:v>
      </x:c>
      <x:c r="X5" s="14" t="str">
        <x:v>Evidence: qa_evidence/commands/public-contract-refresh-20260716/. Canonical backend receipts: aitrailblazer-web-intel-mcp/qa_evidence/commands/current-deltasignal-audit-20260715/final_live_receipts.json.</x:v>
      </x:c>
      <x:c r="Y5" s="14" t="str">
        <x:v>Fix what is needed and finish.</x:v>
      </x:c>
    </x:row>
    <x:row r="6" ht="22" customHeight="1">
      <x:c r="A6" s="14" t="str">
        <x:v>PUB-005</x:v>
      </x:c>
      <x:c r="B6" s="14" t="str">
        <x:v>Governed semantic MCP guidance</x:v>
      </x:c>
      <x:c r="C6" s="14" t="str">
        <x:v>Semantic MCP Documentation</x:v>
      </x:c>
      <x:c r="D6" s="14" t="str">
        <x:v>README.md; index.html; llms-full.txt; server.json; .codex-plugin/plugin.json</x:v>
      </x:c>
      <x:c r="E6" s="14" t="str">
        <x:v>Public semantic discovery and query guidance</x:v>
      </x:c>
      <x:c r="F6" s="14" t="str">
        <x:v>Agent developer</x:v>
      </x:c>
      <x:c r="G6" s="14" t="str">
        <x:v>As an agent developer, I want catalog-first semantic-query guidance, so that I use allowlisted fields and preserve evidence boundaries.</x:v>
      </x:c>
      <x:c r="H6" s="14" t="str">
        <x:v>Docs identify 26 atlas7_* tools, catalog-first query planning, evidence envelopes, subscription gating, and no raw SQL.</x:v>
      </x:c>
      <x:c r="I6" s="14" t="str">
        <x:v>The public plugin omitted the governed semantic surface from its primary integration guidance.</x:v>
      </x:c>
      <x:c r="J6" s="14" t="str">
        <x:v>Fixed</x:v>
      </x:c>
      <x:c r="K6" s="14" t="str">
        <x:v>Static contract comparison and executable regression</x:v>
      </x:c>
      <x:c r="L6" s="14" t="str">
        <x:v>Compare documented semantic tools with public MCP tools/list.</x:v>
      </x:c>
      <x:c r="M6" s="14" t="str">
        <x:v>FAIL — 26 live semantic tools were not represented in the primary contract.</x:v>
      </x:c>
      <x:c r="N6" s="14" t="str">
        <x:v>Semantic discovery drift.</x:v>
      </x:c>
      <x:c r="O6" s="14" t="str">
        <x:v>High</x:v>
      </x:c>
      <x:c r="P6" s="14" t="str">
        <x:v>Yes</x:v>
      </x:c>
      <x:c r="Q6" s="14" t="str">
        <x:v>Added semantic model/field catalog, compile/query, lineage, gating, and evidence-envelope guidance.</x:v>
      </x:c>
      <x:c r="R6" s="14" t="str">
        <x:v>README.md; index.html; llms-full.txt; server.json; .codex-plugin/plugin.json</x:v>
      </x:c>
      <x:c r="S6" s="14" t="str">
        <x:v>618ba15</x:v>
      </x:c>
      <x:c r="T6" s="14" t="str">
        <x:v>Parse public HTML/JSON/XML; compare documented OpenAPI and MCP counts with captured live discovery; run Circle buyer and MCP adapter tests.</x:v>
      </x:c>
      <x:c r="U6" s="14" t="str">
        <x:v>PASS — public artifacts parse; feeds and machine contracts are synchronized; live discovery confirms 68 paths / 81 tools / 26 semantic tools; buyer tests pass 4/4; Go adapter packages compile.</x:v>
      </x:c>
      <x:c r="V6" s="14" t="str">
        <x:v>Verified</x:v>
      </x:c>
      <x:c r="W6" s="14" t="str">
        <x:v>No</x:v>
      </x:c>
      <x:c r="X6" s="14" t="str">
        <x:v>Evidence: qa_evidence/commands/public-contract-refresh-20260716/. Canonical backend receipts: aitrailblazer-web-intel-mcp/qa_evidence/commands/current-deltasignal-audit-20260715/final_live_receipts.json.</x:v>
      </x:c>
      <x:c r="Y6" s="14" t="str">
        <x:v>Fix what is needed and finish.</x:v>
      </x:c>
    </x:row>
    <x:row r="7" ht="22" customHeight="1">
      <x:c r="A7" s="14" t="str">
        <x:v>PUB-006</x:v>
      </x:c>
      <x:c r="B7" s="14" t="str">
        <x:v>Plugin and registry metadata currency</x:v>
      </x:c>
      <x:c r="C7" s="14" t="str">
        <x:v>Plugin Metadata</x:v>
      </x:c>
      <x:c r="D7" s="14" t="str">
        <x:v>.codex-plugin/plugin.json; server.json</x:v>
      </x:c>
      <x:c r="E7" s="14" t="str">
        <x:v>Codex plugin and MCP registry manifests</x:v>
      </x:c>
      <x:c r="F7" s="14" t="str">
        <x:v>Marketplace integrator</x:v>
      </x:c>
      <x:c r="G7" s="14" t="str">
        <x:v>As a marketplace integrator, I want plugin metadata to match live discovery, so that the listing does not describe deployed tools as future work.</x:v>
      </x:c>
      <x:c r="H7" s="14" t="str">
        <x:v>Metadata uses current versions and describes TripCode/River as discovery-visible, gated, and evidence-dependent.</x:v>
      </x:c>
      <x:c r="I7" s="14" t="str">
        <x:v>Metadata called TripCode/River a near-term extension despite public discovery exposure.</x:v>
      </x:c>
      <x:c r="J7" s="14" t="str">
        <x:v>Fixed</x:v>
      </x:c>
      <x:c r="K7" s="14" t="str">
        <x:v>Static contract comparison and executable regression</x:v>
      </x:c>
      <x:c r="L7" s="14" t="str">
        <x:v>Parse manifests and compare descriptions with tools/list.</x:v>
      </x:c>
      <x:c r="M7" s="14" t="str">
        <x:v>FAIL — manifest posture contradicted live discovery.</x:v>
      </x:c>
      <x:c r="N7" s="14" t="str">
        <x:v>Marketplace metadata drift.</x:v>
      </x:c>
      <x:c r="O7" s="14" t="str">
        <x:v>Medium</x:v>
      </x:c>
      <x:c r="P7" s="14" t="str">
        <x:v>Yes</x:v>
      </x:c>
      <x:c r="Q7" s="14" t="str">
        <x:v>Bumped plugin to 0.2.7 and server metadata to 1.1.8; corrected semantic and TripCode posture.</x:v>
      </x:c>
      <x:c r="R7" s="14" t="str">
        <x:v>.codex-plugin/plugin.json; server.json</x:v>
      </x:c>
      <x:c r="S7" s="14" t="str">
        <x:v>618ba15</x:v>
      </x:c>
      <x:c r="T7" s="14" t="str">
        <x:v>Parse public HTML/JSON/XML; compare documented OpenAPI and MCP counts with captured live discovery; run Circle buyer and MCP adapter tests.</x:v>
      </x:c>
      <x:c r="U7" s="14" t="str">
        <x:v>PASS — public artifacts parse; feeds and machine contracts are synchronized; live discovery confirms 68 paths / 81 tools / 26 semantic tools; buyer tests pass 4/4; Go adapter packages compile.</x:v>
      </x:c>
      <x:c r="V7" s="14" t="str">
        <x:v>Verified</x:v>
      </x:c>
      <x:c r="W7" s="14" t="str">
        <x:v>No</x:v>
      </x:c>
      <x:c r="X7" s="14" t="str">
        <x:v>Evidence: qa_evidence/commands/public-contract-refresh-20260716/. Canonical backend receipts: aitrailblazer-web-intel-mcp/qa_evidence/commands/current-deltasignal-audit-20260715/final_live_receipts.json.</x:v>
      </x:c>
      <x:c r="Y7" s="14" t="str">
        <x:v>Fix what is needed and finish.</x:v>
      </x:c>
    </x:row>
    <x:row r="8" ht="22" customHeight="1">
      <x:c r="A8" s="14" t="str">
        <x:v>PUB-007</x:v>
      </x:c>
      <x:c r="B8" s="14" t="str">
        <x:v>Quickstart live checkpoint</x:v>
      </x:c>
      <x:c r="C8" s="14" t="str">
        <x:v>Developer Quickstart</x:v>
      </x:c>
      <x:c r="D8" s="14" t="str">
        <x:v>quickstart.md</x:v>
      </x:c>
      <x:c r="E8" s="14" t="str">
        <x:v>Quickstart contract checkpoint</x:v>
      </x:c>
      <x:c r="F8" s="14" t="str">
        <x:v>Developer</x:v>
      </x:c>
      <x:c r="G8" s="14" t="str">
        <x:v>As a developer, I want the quickstart checkpoint to match current discovery, so that my first integration assumptions are correct.</x:v>
      </x:c>
      <x:c r="H8" s="14" t="str">
        <x:v>Quickstart identifies the July 16 checkpoint and current route/tool/pricing/field counts.</x:v>
      </x:c>
      <x:c r="I8" s="14" t="str">
        <x:v>Quickstart remained dated June 19 and reported 48 paths.</x:v>
      </x:c>
      <x:c r="J8" s="14" t="str">
        <x:v>Fixed</x:v>
      </x:c>
      <x:c r="K8" s="14" t="str">
        <x:v>Static contract comparison and executable regression</x:v>
      </x:c>
      <x:c r="L8" s="14" t="str">
        <x:v>Compare frontmatter and checkpoint with live discovery.</x:v>
      </x:c>
      <x:c r="M8" s="14" t="str">
        <x:v>FAIL — quickstart date and path count were stale.</x:v>
      </x:c>
      <x:c r="N8" s="14" t="str">
        <x:v>Onboarding documentation drift.</x:v>
      </x:c>
      <x:c r="O8" s="14" t="str">
        <x:v>Medium</x:v>
      </x:c>
      <x:c r="P8" s="14" t="str">
        <x:v>Yes</x:v>
      </x:c>
      <x:c r="Q8" s="14" t="str">
        <x:v>Updated the checkpoint to July 16 and included 68/81/26/30/47 discovery counts.</x:v>
      </x:c>
      <x:c r="R8" s="14" t="str">
        <x:v>quickstart.md</x:v>
      </x:c>
      <x:c r="S8" s="14" t="str">
        <x:v>618ba15</x:v>
      </x:c>
      <x:c r="T8" s="14" t="str">
        <x:v>Parse public HTML/JSON/XML; compare documented OpenAPI and MCP counts with captured live discovery; run Circle buyer and MCP adapter tests.</x:v>
      </x:c>
      <x:c r="U8" s="14" t="str">
        <x:v>PASS — public artifacts parse; feeds and machine contracts are synchronized; live discovery confirms 68 paths / 81 tools / 26 semantic tools; buyer tests pass 4/4; Go adapter packages compile.</x:v>
      </x:c>
      <x:c r="V8" s="14" t="str">
        <x:v>Verified</x:v>
      </x:c>
      <x:c r="W8" s="14" t="str">
        <x:v>No</x:v>
      </x:c>
      <x:c r="X8" s="14" t="str">
        <x:v>Evidence: qa_evidence/commands/public-contract-refresh-20260716/. Canonical backend receipts: aitrailblazer-web-intel-mcp/qa_evidence/commands/current-deltasignal-audit-20260715/final_live_receipts.json.</x:v>
      </x:c>
      <x:c r="Y8" s="14" t="str">
        <x:v>Fix what is needed and finish.</x:v>
      </x:c>
    </x:row>
    <x:row r="9" ht="22" customHeight="1">
      <x:c r="A9" s="14" t="str">
        <x:v>PUB-008</x:v>
      </x:c>
      <x:c r="B9" s="14" t="str">
        <x:v>Human, LLM, RSS, and Atom changelog synchronization</x:v>
      </x:c>
      <x:c r="C9" s="14" t="str">
        <x:v>Changelog</x:v>
      </x:c>
      <x:c r="D9" s="14" t="str">
        <x:v>changelog.html; changelog-llm.html; rss.xml; atom.xml</x:v>
      </x:c>
      <x:c r="E9" s="14" t="str">
        <x:v>Changelog surfaces and feeds</x:v>
      </x:c>
      <x:c r="F9" s="14" t="str">
        <x:v>Subscriber and agent</x:v>
      </x:c>
      <x:c r="G9" s="14" t="str">
        <x:v>As a subscriber or agent, I want every changelog surface to expose the same latest TripCode, so that human and machine readers share one release history.</x:v>
      </x:c>
      <x:c r="H9" s="14" t="str">
        <x:v>Human, LLM, embedded JSON/XML, RSS, and Atom surfaces expose entry 203 with synchronized statistics.</x:v>
      </x:c>
      <x:c r="I9" s="14" t="str">
        <x:v>The July calculation-plane and semantic MCP publication had no changelog entry or feed item.</x:v>
      </x:c>
      <x:c r="J9" s="14" t="str">
        <x:v>Fixed</x:v>
      </x:c>
      <x:c r="K9" s="14" t="str">
        <x:v>Static contract comparison and executable regression</x:v>
      </x:c>
      <x:c r="L9" s="14" t="str">
        <x:v>Parse all changelog surfaces and assert entry 203 and synchronized statistics.</x:v>
      </x:c>
      <x:c r="M9" s="14" t="str">
        <x:v>FAIL — publication event was absent from changelog surfaces.</x:v>
      </x:c>
      <x:c r="N9" s="14" t="str">
        <x:v>Release provenance gap.</x:v>
      </x:c>
      <x:c r="O9" s="14" t="str">
        <x:v>High</x:v>
      </x:c>
      <x:c r="P9" s="14" t="str">
        <x:v>Yes</x:v>
      </x:c>
      <x:c r="Q9" s="14" t="str">
        <x:v>Added TripCode entry 203, synchronized counts to 203/117/200/203, and regenerated both feeds.</x:v>
      </x:c>
      <x:c r="R9" s="14" t="str">
        <x:v>changelog.html; changelog-llm.html; rss.xml; atom.xml</x:v>
      </x:c>
      <x:c r="S9" s="14" t="str">
        <x:v>618ba15</x:v>
      </x:c>
      <x:c r="T9" s="14" t="str">
        <x:v>Parse public HTML/JSON/XML; compare documented OpenAPI and MCP counts with captured live discovery; run Circle buyer and MCP adapter tests.</x:v>
      </x:c>
      <x:c r="U9" s="14" t="str">
        <x:v>PASS — public artifacts parse; feeds and machine contracts are synchronized; live discovery confirms 68 paths / 81 tools / 26 semantic tools; buyer tests pass 4/4; Go adapter packages compile.</x:v>
      </x:c>
      <x:c r="V9" s="14" t="str">
        <x:v>Verified</x:v>
      </x:c>
      <x:c r="W9" s="14" t="str">
        <x:v>No</x:v>
      </x:c>
      <x:c r="X9" s="14" t="str">
        <x:v>Evidence: qa_evidence/commands/public-contract-refresh-20260716/. Canonical backend receipts: aitrailblazer-web-intel-mcp/qa_evidence/commands/current-deltasignal-audit-20260715/final_live_receipts.json.</x:v>
      </x:c>
      <x:c r="Y9" s="14" t="str">
        <x:v>Fix what is needed and finish.</x:v>
      </x:c>
    </x:row>
    <x:row r="10" ht="22" customHeight="1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</x:row>
    <x:row r="11" ht="22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</x:row>
    <x:row r="12" ht="22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</x:row>
    <x:row r="13" ht="22" customHeight="1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</x:row>
    <x:row r="14" ht="22" customHeight="1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</x:row>
    <x:row r="15" ht="22" customHeight="1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</x:row>
    <x:row r="16" ht="22" customHeight="1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</x:row>
    <x:row r="17" ht="22" customHeight="1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</x:row>
    <x:row r="18" ht="22" customHeight="1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</x:row>
    <x:row r="19" ht="22" customHeight="1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</x:row>
    <x:row r="20" ht="22" customHeight="1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  <x:c r="L201" s="14"/>
      <x:c r="M201" s="14"/>
      <x:c r="N201" s="14"/>
      <x:c r="O201" s="14"/>
      <x:c r="P201" s="14"/>
      <x:c r="Q201" s="14"/>
      <x:c r="R201" s="14"/>
      <x:c r="S201" s="14"/>
      <x:c r="T201" s="14"/>
      <x:c r="U201" s="14"/>
      <x:c r="V201" s="14"/>
      <x:c r="W201" s="14"/>
      <x:c r="X201" s="14"/>
      <x:c r="Y201" s="14"/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4"/>
      <x:c r="L202" s="14"/>
      <x:c r="M202" s="14"/>
      <x:c r="N202" s="14"/>
      <x:c r="O202" s="14"/>
      <x:c r="P202" s="14"/>
      <x:c r="Q202" s="14"/>
      <x:c r="R202" s="14"/>
      <x:c r="S202" s="14"/>
      <x:c r="T202" s="14"/>
      <x:c r="U202" s="14"/>
      <x:c r="V202" s="14"/>
      <x:c r="W202" s="14"/>
      <x:c r="X202" s="14"/>
      <x:c r="Y202" s="14"/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4"/>
      <x:c r="L203" s="14"/>
      <x:c r="M203" s="14"/>
      <x:c r="N203" s="14"/>
      <x:c r="O203" s="14"/>
      <x:c r="P203" s="14"/>
      <x:c r="Q203" s="14"/>
      <x:c r="R203" s="14"/>
      <x:c r="S203" s="14"/>
      <x:c r="T203" s="14"/>
      <x:c r="U203" s="14"/>
      <x:c r="V203" s="14"/>
      <x:c r="W203" s="14"/>
      <x:c r="X203" s="14"/>
      <x:c r="Y203" s="14"/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  <x:c r="M204" s="14"/>
      <x:c r="N204" s="14"/>
      <x:c r="O204" s="14"/>
      <x:c r="P204" s="14"/>
      <x:c r="Q204" s="14"/>
      <x:c r="R204" s="14"/>
      <x:c r="S204" s="14"/>
      <x:c r="T204" s="14"/>
      <x:c r="U204" s="14"/>
      <x:c r="V204" s="14"/>
      <x:c r="W204" s="14"/>
      <x:c r="X204" s="14"/>
      <x:c r="Y204" s="14"/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4"/>
      <x:c r="L205" s="14"/>
      <x:c r="M205" s="14"/>
      <x:c r="N205" s="14"/>
      <x:c r="O205" s="14"/>
      <x:c r="P205" s="14"/>
      <x:c r="Q205" s="14"/>
      <x:c r="R205" s="14"/>
      <x:c r="S205" s="14"/>
      <x:c r="T205" s="14"/>
      <x:c r="U205" s="14"/>
      <x:c r="V205" s="14"/>
      <x:c r="W205" s="14"/>
      <x:c r="X205" s="14"/>
      <x:c r="Y205" s="14"/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  <x:c r="M206" s="14"/>
      <x:c r="N206" s="14"/>
      <x:c r="O206" s="14"/>
      <x:c r="P206" s="14"/>
      <x:c r="Q206" s="14"/>
      <x:c r="R206" s="14"/>
      <x:c r="S206" s="14"/>
      <x:c r="T206" s="14"/>
      <x:c r="U206" s="14"/>
      <x:c r="V206" s="14"/>
      <x:c r="W206" s="14"/>
      <x:c r="X206" s="14"/>
      <x:c r="Y206" s="14"/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  <x:c r="M207" s="14"/>
      <x:c r="N207" s="14"/>
      <x:c r="O207" s="14"/>
      <x:c r="P207" s="14"/>
      <x:c r="Q207" s="14"/>
      <x:c r="R207" s="14"/>
      <x:c r="S207" s="14"/>
      <x:c r="T207" s="14"/>
      <x:c r="U207" s="14"/>
      <x:c r="V207" s="14"/>
      <x:c r="W207" s="14"/>
      <x:c r="X207" s="14"/>
      <x:c r="Y207" s="14"/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14"/>
      <x:c r="L208" s="14"/>
      <x:c r="M208" s="14"/>
      <x:c r="N208" s="14"/>
      <x:c r="O208" s="14"/>
      <x:c r="P208" s="14"/>
      <x:c r="Q208" s="14"/>
      <x:c r="R208" s="14"/>
      <x:c r="S208" s="14"/>
      <x:c r="T208" s="14"/>
      <x:c r="U208" s="14"/>
      <x:c r="V208" s="14"/>
      <x:c r="W208" s="14"/>
      <x:c r="X208" s="14"/>
      <x:c r="Y208" s="14"/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14"/>
      <x:c r="L209" s="14"/>
      <x:c r="M209" s="14"/>
      <x:c r="N209" s="14"/>
      <x:c r="O209" s="14"/>
      <x:c r="P209" s="14"/>
      <x:c r="Q209" s="14"/>
      <x:c r="R209" s="14"/>
      <x:c r="S209" s="14"/>
      <x:c r="T209" s="14"/>
      <x:c r="U209" s="14"/>
      <x:c r="V209" s="14"/>
      <x:c r="W209" s="14"/>
      <x:c r="X209" s="14"/>
      <x:c r="Y209" s="14"/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14"/>
      <x:c r="L210" s="14"/>
      <x:c r="M210" s="14"/>
      <x:c r="N210" s="14"/>
      <x:c r="O210" s="14"/>
      <x:c r="P210" s="14"/>
      <x:c r="Q210" s="14"/>
      <x:c r="R210" s="14"/>
      <x:c r="S210" s="14"/>
      <x:c r="T210" s="14"/>
      <x:c r="U210" s="14"/>
      <x:c r="V210" s="14"/>
      <x:c r="W210" s="14"/>
      <x:c r="X210" s="14"/>
      <x:c r="Y210" s="14"/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14"/>
      <x:c r="L211" s="14"/>
      <x:c r="M211" s="14"/>
      <x:c r="N211" s="14"/>
      <x:c r="O211" s="14"/>
      <x:c r="P211" s="14"/>
      <x:c r="Q211" s="14"/>
      <x:c r="R211" s="14"/>
      <x:c r="S211" s="14"/>
      <x:c r="T211" s="14"/>
      <x:c r="U211" s="14"/>
      <x:c r="V211" s="14"/>
      <x:c r="W211" s="14"/>
      <x:c r="X211" s="14"/>
      <x:c r="Y211" s="14"/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4"/>
      <x:c r="L212" s="14"/>
      <x:c r="M212" s="14"/>
      <x:c r="N212" s="14"/>
      <x:c r="O212" s="14"/>
      <x:c r="P212" s="14"/>
      <x:c r="Q212" s="14"/>
      <x:c r="R212" s="14"/>
      <x:c r="S212" s="14"/>
      <x:c r="T212" s="14"/>
      <x:c r="U212" s="14"/>
      <x:c r="V212" s="14"/>
      <x:c r="W212" s="14"/>
      <x:c r="X212" s="14"/>
      <x:c r="Y212" s="14"/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4"/>
      <x:c r="L213" s="14"/>
      <x:c r="M213" s="14"/>
      <x:c r="N213" s="14"/>
      <x:c r="O213" s="14"/>
      <x:c r="P213" s="14"/>
      <x:c r="Q213" s="14"/>
      <x:c r="R213" s="14"/>
      <x:c r="S213" s="14"/>
      <x:c r="T213" s="14"/>
      <x:c r="U213" s="14"/>
      <x:c r="V213" s="14"/>
      <x:c r="W213" s="14"/>
      <x:c r="X213" s="14"/>
      <x:c r="Y213" s="14"/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14"/>
      <x:c r="L214" s="14"/>
      <x:c r="M214" s="14"/>
      <x:c r="N214" s="14"/>
      <x:c r="O214" s="14"/>
      <x:c r="P214" s="14"/>
      <x:c r="Q214" s="14"/>
      <x:c r="R214" s="14"/>
      <x:c r="S214" s="14"/>
      <x:c r="T214" s="14"/>
      <x:c r="U214" s="14"/>
      <x:c r="V214" s="14"/>
      <x:c r="W214" s="14"/>
      <x:c r="X214" s="14"/>
      <x:c r="Y214" s="14"/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14"/>
      <x:c r="L215" s="14"/>
      <x:c r="M215" s="14"/>
      <x:c r="N215" s="14"/>
      <x:c r="O215" s="14"/>
      <x:c r="P215" s="14"/>
      <x:c r="Q215" s="14"/>
      <x:c r="R215" s="14"/>
      <x:c r="S215" s="14"/>
      <x:c r="T215" s="14"/>
      <x:c r="U215" s="14"/>
      <x:c r="V215" s="14"/>
      <x:c r="W215" s="14"/>
      <x:c r="X215" s="14"/>
      <x:c r="Y215" s="14"/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  <x:c r="M216" s="14"/>
      <x:c r="N216" s="14"/>
      <x:c r="O216" s="14"/>
      <x:c r="P216" s="14"/>
      <x:c r="Q216" s="14"/>
      <x:c r="R216" s="14"/>
      <x:c r="S216" s="14"/>
      <x:c r="T216" s="14"/>
      <x:c r="U216" s="14"/>
      <x:c r="V216" s="14"/>
      <x:c r="W216" s="14"/>
      <x:c r="X216" s="14"/>
      <x:c r="Y216" s="14"/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  <x:c r="M217" s="14"/>
      <x:c r="N217" s="14"/>
      <x:c r="O217" s="14"/>
      <x:c r="P217" s="14"/>
      <x:c r="Q217" s="14"/>
      <x:c r="R217" s="14"/>
      <x:c r="S217" s="14"/>
      <x:c r="T217" s="14"/>
      <x:c r="U217" s="14"/>
      <x:c r="V217" s="14"/>
      <x:c r="W217" s="14"/>
      <x:c r="X217" s="14"/>
      <x:c r="Y217" s="14"/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14"/>
      <x:c r="L218" s="14"/>
      <x:c r="M218" s="14"/>
      <x:c r="N218" s="14"/>
      <x:c r="O218" s="14"/>
      <x:c r="P218" s="14"/>
      <x:c r="Q218" s="14"/>
      <x:c r="R218" s="14"/>
      <x:c r="S218" s="14"/>
      <x:c r="T218" s="14"/>
      <x:c r="U218" s="14"/>
      <x:c r="V218" s="14"/>
      <x:c r="W218" s="14"/>
      <x:c r="X218" s="14"/>
      <x:c r="Y218" s="14"/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14"/>
      <x:c r="L219" s="14"/>
      <x:c r="M219" s="14"/>
      <x:c r="N219" s="14"/>
      <x:c r="O219" s="14"/>
      <x:c r="P219" s="14"/>
      <x:c r="Q219" s="14"/>
      <x:c r="R219" s="14"/>
      <x:c r="S219" s="14"/>
      <x:c r="T219" s="14"/>
      <x:c r="U219" s="14"/>
      <x:c r="V219" s="14"/>
      <x:c r="W219" s="14"/>
      <x:c r="X219" s="14"/>
      <x:c r="Y219" s="14"/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14"/>
      <x:c r="L220" s="14"/>
      <x:c r="M220" s="14"/>
      <x:c r="N220" s="14"/>
      <x:c r="O220" s="14"/>
      <x:c r="P220" s="14"/>
      <x:c r="Q220" s="14"/>
      <x:c r="R220" s="14"/>
      <x:c r="S220" s="14"/>
      <x:c r="T220" s="14"/>
      <x:c r="U220" s="14"/>
      <x:c r="V220" s="14"/>
      <x:c r="W220" s="14"/>
      <x:c r="X220" s="14"/>
      <x:c r="Y220" s="14"/>
    </x:row>
    <x:row r="221">
      <x:c r="A221" s="14"/>
      <x:c r="B221" s="14"/>
      <x:c r="C221" s="14"/>
      <x:c r="D221" s="14"/>
      <x:c r="E221" s="14"/>
      <x:c r="F221" s="14"/>
      <x:c r="G221" s="14"/>
      <x:c r="H221" s="14"/>
      <x:c r="I221" s="14"/>
      <x:c r="J221" s="14"/>
      <x:c r="K221" s="14"/>
      <x:c r="L221" s="14"/>
      <x:c r="M221" s="14"/>
      <x:c r="N221" s="14"/>
      <x:c r="O221" s="14"/>
      <x:c r="P221" s="14"/>
      <x:c r="Q221" s="14"/>
      <x:c r="R221" s="14"/>
      <x:c r="S221" s="14"/>
      <x:c r="T221" s="14"/>
      <x:c r="U221" s="14"/>
      <x:c r="V221" s="14"/>
      <x:c r="W221" s="14"/>
      <x:c r="X221" s="14"/>
      <x:c r="Y221" s="14"/>
    </x:row>
    <x:row r="222">
      <x:c r="A222" s="14"/>
      <x:c r="B222" s="14"/>
      <x:c r="C222" s="14"/>
      <x:c r="D222" s="14"/>
      <x:c r="E222" s="14"/>
      <x:c r="F222" s="14"/>
      <x:c r="G222" s="14"/>
      <x:c r="H222" s="14"/>
      <x:c r="I222" s="14"/>
      <x:c r="J222" s="14"/>
      <x:c r="K222" s="14"/>
      <x:c r="L222" s="14"/>
      <x:c r="M222" s="14"/>
      <x:c r="N222" s="14"/>
      <x:c r="O222" s="14"/>
      <x:c r="P222" s="14"/>
      <x:c r="Q222" s="14"/>
      <x:c r="R222" s="14"/>
      <x:c r="S222" s="14"/>
      <x:c r="T222" s="14"/>
      <x:c r="U222" s="14"/>
      <x:c r="V222" s="14"/>
      <x:c r="W222" s="14"/>
      <x:c r="X222" s="14"/>
      <x:c r="Y222" s="14"/>
    </x:row>
    <x:row r="223">
      <x:c r="A223" s="14"/>
      <x:c r="B223" s="14"/>
      <x:c r="C223" s="14"/>
      <x:c r="D223" s="14"/>
      <x:c r="E223" s="14"/>
      <x:c r="F223" s="14"/>
      <x:c r="G223" s="14"/>
      <x:c r="H223" s="14"/>
      <x:c r="I223" s="14"/>
      <x:c r="J223" s="14"/>
      <x:c r="K223" s="14"/>
      <x:c r="L223" s="14"/>
      <x:c r="M223" s="14"/>
      <x:c r="N223" s="14"/>
      <x:c r="O223" s="14"/>
      <x:c r="P223" s="14"/>
      <x:c r="Q223" s="14"/>
      <x:c r="R223" s="14"/>
      <x:c r="S223" s="14"/>
      <x:c r="T223" s="14"/>
      <x:c r="U223" s="14"/>
      <x:c r="V223" s="14"/>
      <x:c r="W223" s="14"/>
      <x:c r="X223" s="14"/>
      <x:c r="Y223" s="14"/>
    </x:row>
    <x:row r="224">
      <x:c r="A224" s="14"/>
      <x:c r="B224" s="14"/>
      <x:c r="C224" s="14"/>
      <x:c r="D224" s="14"/>
      <x:c r="E224" s="14"/>
      <x:c r="F224" s="14"/>
      <x:c r="G224" s="14"/>
      <x:c r="H224" s="14"/>
      <x:c r="I224" s="14"/>
      <x:c r="J224" s="14"/>
      <x:c r="K224" s="14"/>
      <x:c r="L224" s="14"/>
      <x:c r="M224" s="14"/>
      <x:c r="N224" s="14"/>
      <x:c r="O224" s="14"/>
      <x:c r="P224" s="14"/>
      <x:c r="Q224" s="14"/>
      <x:c r="R224" s="14"/>
      <x:c r="S224" s="14"/>
      <x:c r="T224" s="14"/>
      <x:c r="U224" s="14"/>
      <x:c r="V224" s="14"/>
      <x:c r="W224" s="14"/>
      <x:c r="X224" s="14"/>
      <x:c r="Y224" s="14"/>
    </x:row>
    <x:row r="225">
      <x:c r="A225" s="14"/>
      <x:c r="B225" s="14"/>
      <x:c r="C225" s="14"/>
      <x:c r="D225" s="14"/>
      <x:c r="E225" s="14"/>
      <x:c r="F225" s="14"/>
      <x:c r="G225" s="14"/>
      <x:c r="H225" s="14"/>
      <x:c r="I225" s="14"/>
      <x:c r="J225" s="14"/>
      <x:c r="K225" s="14"/>
      <x:c r="L225" s="14"/>
      <x:c r="M225" s="14"/>
      <x:c r="N225" s="14"/>
      <x:c r="O225" s="14"/>
      <x:c r="P225" s="14"/>
      <x:c r="Q225" s="14"/>
      <x:c r="R225" s="14"/>
      <x:c r="S225" s="14"/>
      <x:c r="T225" s="14"/>
      <x:c r="U225" s="14"/>
      <x:c r="V225" s="14"/>
      <x:c r="W225" s="14"/>
      <x:c r="X225" s="14"/>
      <x:c r="Y225" s="14"/>
    </x:row>
    <x:row r="226">
      <x:c r="A226" s="14"/>
      <x:c r="B226" s="14"/>
      <x:c r="C226" s="14"/>
      <x:c r="D226" s="14"/>
      <x:c r="E226" s="14"/>
      <x:c r="F226" s="14"/>
      <x:c r="G226" s="14"/>
      <x:c r="H226" s="14"/>
      <x:c r="I226" s="14"/>
      <x:c r="J226" s="14"/>
      <x:c r="K226" s="14"/>
      <x:c r="L226" s="14"/>
      <x:c r="M226" s="14"/>
      <x:c r="N226" s="14"/>
      <x:c r="O226" s="14"/>
      <x:c r="P226" s="14"/>
      <x:c r="Q226" s="14"/>
      <x:c r="R226" s="14"/>
      <x:c r="S226" s="14"/>
      <x:c r="T226" s="14"/>
      <x:c r="U226" s="14"/>
      <x:c r="V226" s="14"/>
      <x:c r="W226" s="14"/>
      <x:c r="X226" s="14"/>
      <x:c r="Y226" s="14"/>
    </x:row>
    <x:row r="227">
      <x:c r="A227" s="14"/>
      <x:c r="B227" s="14"/>
      <x:c r="C227" s="14"/>
      <x:c r="D227" s="14"/>
      <x:c r="E227" s="14"/>
      <x:c r="F227" s="14"/>
      <x:c r="G227" s="14"/>
      <x:c r="H227" s="14"/>
      <x:c r="I227" s="14"/>
      <x:c r="J227" s="14"/>
      <x:c r="K227" s="14"/>
      <x:c r="L227" s="14"/>
      <x:c r="M227" s="14"/>
      <x:c r="N227" s="14"/>
      <x:c r="O227" s="14"/>
      <x:c r="P227" s="14"/>
      <x:c r="Q227" s="14"/>
      <x:c r="R227" s="14"/>
      <x:c r="S227" s="14"/>
      <x:c r="T227" s="14"/>
      <x:c r="U227" s="14"/>
      <x:c r="V227" s="14"/>
      <x:c r="W227" s="14"/>
      <x:c r="X227" s="14"/>
      <x:c r="Y227" s="14"/>
    </x:row>
    <x:row r="228">
      <x:c r="A228" s="14"/>
      <x:c r="B228" s="14"/>
      <x:c r="C228" s="14"/>
      <x:c r="D228" s="14"/>
      <x:c r="E228" s="14"/>
      <x:c r="F228" s="14"/>
      <x:c r="G228" s="14"/>
      <x:c r="H228" s="14"/>
      <x:c r="I228" s="14"/>
      <x:c r="J228" s="14"/>
      <x:c r="K228" s="14"/>
      <x:c r="L228" s="14"/>
      <x:c r="M228" s="14"/>
      <x:c r="N228" s="14"/>
      <x:c r="O228" s="14"/>
      <x:c r="P228" s="14"/>
      <x:c r="Q228" s="14"/>
      <x:c r="R228" s="14"/>
      <x:c r="S228" s="14"/>
      <x:c r="T228" s="14"/>
      <x:c r="U228" s="14"/>
      <x:c r="V228" s="14"/>
      <x:c r="W228" s="14"/>
      <x:c r="X228" s="14"/>
      <x:c r="Y228" s="14"/>
    </x:row>
    <x:row r="229">
      <x:c r="A229" s="14"/>
      <x:c r="B229" s="14"/>
      <x:c r="C229" s="14"/>
      <x:c r="D229" s="14"/>
      <x:c r="E229" s="14"/>
      <x:c r="F229" s="14"/>
      <x:c r="G229" s="14"/>
      <x:c r="H229" s="14"/>
      <x:c r="I229" s="14"/>
      <x:c r="J229" s="14"/>
      <x:c r="K229" s="14"/>
      <x:c r="L229" s="14"/>
      <x:c r="M229" s="14"/>
      <x:c r="N229" s="14"/>
      <x:c r="O229" s="14"/>
      <x:c r="P229" s="14"/>
      <x:c r="Q229" s="14"/>
      <x:c r="R229" s="14"/>
      <x:c r="S229" s="14"/>
      <x:c r="T229" s="14"/>
      <x:c r="U229" s="14"/>
      <x:c r="V229" s="14"/>
      <x:c r="W229" s="14"/>
      <x:c r="X229" s="14"/>
      <x:c r="Y229" s="14"/>
    </x:row>
    <x:row r="230">
      <x:c r="A230" s="14"/>
      <x:c r="B230" s="14"/>
      <x:c r="C230" s="14"/>
      <x:c r="D230" s="14"/>
      <x:c r="E230" s="14"/>
      <x:c r="F230" s="14"/>
      <x:c r="G230" s="14"/>
      <x:c r="H230" s="14"/>
      <x:c r="I230" s="14"/>
      <x:c r="J230" s="14"/>
      <x:c r="K230" s="14"/>
      <x:c r="L230" s="14"/>
      <x:c r="M230" s="14"/>
      <x:c r="N230" s="14"/>
      <x:c r="O230" s="14"/>
      <x:c r="P230" s="14"/>
      <x:c r="Q230" s="14"/>
      <x:c r="R230" s="14"/>
      <x:c r="S230" s="14"/>
      <x:c r="T230" s="14"/>
      <x:c r="U230" s="14"/>
      <x:c r="V230" s="14"/>
      <x:c r="W230" s="14"/>
      <x:c r="X230" s="14"/>
      <x:c r="Y230" s="14"/>
    </x:row>
    <x:row r="231">
      <x:c r="A231" s="14"/>
      <x:c r="B231" s="14"/>
      <x:c r="C231" s="14"/>
      <x:c r="D231" s="14"/>
      <x:c r="E231" s="14"/>
      <x:c r="F231" s="14"/>
      <x:c r="G231" s="14"/>
      <x:c r="H231" s="14"/>
      <x:c r="I231" s="14"/>
      <x:c r="J231" s="14"/>
      <x:c r="K231" s="14"/>
      <x:c r="L231" s="14"/>
      <x:c r="M231" s="14"/>
      <x:c r="N231" s="14"/>
      <x:c r="O231" s="14"/>
      <x:c r="P231" s="14"/>
      <x:c r="Q231" s="14"/>
      <x:c r="R231" s="14"/>
      <x:c r="S231" s="14"/>
      <x:c r="T231" s="14"/>
      <x:c r="U231" s="14"/>
      <x:c r="V231" s="14"/>
      <x:c r="W231" s="14"/>
      <x:c r="X231" s="14"/>
      <x:c r="Y231" s="14"/>
    </x:row>
    <x:row r="232">
      <x:c r="A232" s="14"/>
      <x:c r="B232" s="14"/>
      <x:c r="C232" s="14"/>
      <x:c r="D232" s="14"/>
      <x:c r="E232" s="14"/>
      <x:c r="F232" s="14"/>
      <x:c r="G232" s="14"/>
      <x:c r="H232" s="14"/>
      <x:c r="I232" s="14"/>
      <x:c r="J232" s="14"/>
      <x:c r="K232" s="14"/>
      <x:c r="L232" s="14"/>
      <x:c r="M232" s="14"/>
      <x:c r="N232" s="14"/>
      <x:c r="O232" s="14"/>
      <x:c r="P232" s="14"/>
      <x:c r="Q232" s="14"/>
      <x:c r="R232" s="14"/>
      <x:c r="S232" s="14"/>
      <x:c r="T232" s="14"/>
      <x:c r="U232" s="14"/>
      <x:c r="V232" s="14"/>
      <x:c r="W232" s="14"/>
      <x:c r="X232" s="14"/>
      <x:c r="Y232" s="14"/>
    </x:row>
    <x:row r="233">
      <x:c r="A233" s="14"/>
      <x:c r="B233" s="14"/>
      <x:c r="C233" s="14"/>
      <x:c r="D233" s="14"/>
      <x:c r="E233" s="14"/>
      <x:c r="F233" s="14"/>
      <x:c r="G233" s="14"/>
      <x:c r="H233" s="14"/>
      <x:c r="I233" s="14"/>
      <x:c r="J233" s="14"/>
      <x:c r="K233" s="14"/>
      <x:c r="L233" s="14"/>
      <x:c r="M233" s="14"/>
      <x:c r="N233" s="14"/>
      <x:c r="O233" s="14"/>
      <x:c r="P233" s="14"/>
      <x:c r="Q233" s="14"/>
      <x:c r="R233" s="14"/>
      <x:c r="S233" s="14"/>
      <x:c r="T233" s="14"/>
      <x:c r="U233" s="14"/>
      <x:c r="V233" s="14"/>
      <x:c r="W233" s="14"/>
      <x:c r="X233" s="14"/>
      <x:c r="Y233" s="14"/>
    </x:row>
    <x:row r="234">
      <x:c r="A234" s="14"/>
      <x:c r="B234" s="14"/>
      <x:c r="C234" s="14"/>
      <x:c r="D234" s="14"/>
      <x:c r="E234" s="14"/>
      <x:c r="F234" s="14"/>
      <x:c r="G234" s="14"/>
      <x:c r="H234" s="14"/>
      <x:c r="I234" s="14"/>
      <x:c r="J234" s="14"/>
      <x:c r="K234" s="14"/>
      <x:c r="L234" s="14"/>
      <x:c r="M234" s="14"/>
      <x:c r="N234" s="14"/>
      <x:c r="O234" s="14"/>
      <x:c r="P234" s="14"/>
      <x:c r="Q234" s="14"/>
      <x:c r="R234" s="14"/>
      <x:c r="S234" s="14"/>
      <x:c r="T234" s="14"/>
      <x:c r="U234" s="14"/>
      <x:c r="V234" s="14"/>
      <x:c r="W234" s="14"/>
      <x:c r="X234" s="14"/>
      <x:c r="Y234" s="14"/>
    </x:row>
    <x:row r="235">
      <x:c r="A235" s="14"/>
      <x:c r="B235" s="14"/>
      <x:c r="C235" s="14"/>
      <x:c r="D235" s="14"/>
      <x:c r="E235" s="14"/>
      <x:c r="F235" s="14"/>
      <x:c r="G235" s="14"/>
      <x:c r="H235" s="14"/>
      <x:c r="I235" s="14"/>
      <x:c r="J235" s="14"/>
      <x:c r="K235" s="14"/>
      <x:c r="L235" s="14"/>
      <x:c r="M235" s="14"/>
      <x:c r="N235" s="14"/>
      <x:c r="O235" s="14"/>
      <x:c r="P235" s="14"/>
      <x:c r="Q235" s="14"/>
      <x:c r="R235" s="14"/>
      <x:c r="S235" s="14"/>
      <x:c r="T235" s="14"/>
      <x:c r="U235" s="14"/>
      <x:c r="V235" s="14"/>
      <x:c r="W235" s="14"/>
      <x:c r="X235" s="14"/>
      <x:c r="Y235" s="14"/>
    </x:row>
    <x:row r="236">
      <x:c r="A236" s="14"/>
      <x:c r="B236" s="14"/>
      <x:c r="C236" s="14"/>
      <x:c r="D236" s="14"/>
      <x:c r="E236" s="14"/>
      <x:c r="F236" s="14"/>
      <x:c r="G236" s="14"/>
      <x:c r="H236" s="14"/>
      <x:c r="I236" s="14"/>
      <x:c r="J236" s="14"/>
      <x:c r="K236" s="14"/>
      <x:c r="L236" s="14"/>
      <x:c r="M236" s="14"/>
      <x:c r="N236" s="14"/>
      <x:c r="O236" s="14"/>
      <x:c r="P236" s="14"/>
      <x:c r="Q236" s="14"/>
      <x:c r="R236" s="14"/>
      <x:c r="S236" s="14"/>
      <x:c r="T236" s="14"/>
      <x:c r="U236" s="14"/>
      <x:c r="V236" s="14"/>
      <x:c r="W236" s="14"/>
      <x:c r="X236" s="14"/>
      <x:c r="Y236" s="14"/>
    </x:row>
    <x:row r="237">
      <x:c r="A237" s="14"/>
      <x:c r="B237" s="14"/>
      <x:c r="C237" s="14"/>
      <x:c r="D237" s="14"/>
      <x:c r="E237" s="14"/>
      <x:c r="F237" s="14"/>
      <x:c r="G237" s="14"/>
      <x:c r="H237" s="14"/>
      <x:c r="I237" s="14"/>
      <x:c r="J237" s="14"/>
      <x:c r="K237" s="14"/>
      <x:c r="L237" s="14"/>
      <x:c r="M237" s="14"/>
      <x:c r="N237" s="14"/>
      <x:c r="O237" s="14"/>
      <x:c r="P237" s="14"/>
      <x:c r="Q237" s="14"/>
      <x:c r="R237" s="14"/>
      <x:c r="S237" s="14"/>
      <x:c r="T237" s="14"/>
      <x:c r="U237" s="14"/>
      <x:c r="V237" s="14"/>
      <x:c r="W237" s="14"/>
      <x:c r="X237" s="14"/>
      <x:c r="Y237" s="14"/>
    </x:row>
    <x:row r="238">
      <x:c r="A238" s="14"/>
      <x:c r="B238" s="14"/>
      <x:c r="C238" s="14"/>
      <x:c r="D238" s="14"/>
      <x:c r="E238" s="14"/>
      <x:c r="F238" s="14"/>
      <x:c r="G238" s="14"/>
      <x:c r="H238" s="14"/>
      <x:c r="I238" s="14"/>
      <x:c r="J238" s="14"/>
      <x:c r="K238" s="14"/>
      <x:c r="L238" s="14"/>
      <x:c r="M238" s="14"/>
      <x:c r="N238" s="14"/>
      <x:c r="O238" s="14"/>
      <x:c r="P238" s="14"/>
      <x:c r="Q238" s="14"/>
      <x:c r="R238" s="14"/>
      <x:c r="S238" s="14"/>
      <x:c r="T238" s="14"/>
      <x:c r="U238" s="14"/>
      <x:c r="V238" s="14"/>
      <x:c r="W238" s="14"/>
      <x:c r="X238" s="14"/>
      <x:c r="Y238" s="14"/>
    </x:row>
    <x:row r="239">
      <x:c r="A239" s="14"/>
      <x:c r="B239" s="14"/>
      <x:c r="C239" s="14"/>
      <x:c r="D239" s="14"/>
      <x:c r="E239" s="14"/>
      <x:c r="F239" s="14"/>
      <x:c r="G239" s="14"/>
      <x:c r="H239" s="14"/>
      <x:c r="I239" s="14"/>
      <x:c r="J239" s="14"/>
      <x:c r="K239" s="14"/>
      <x:c r="L239" s="14"/>
      <x:c r="M239" s="14"/>
      <x:c r="N239" s="14"/>
      <x:c r="O239" s="14"/>
      <x:c r="P239" s="14"/>
      <x:c r="Q239" s="14"/>
      <x:c r="R239" s="14"/>
      <x:c r="S239" s="14"/>
      <x:c r="T239" s="14"/>
      <x:c r="U239" s="14"/>
      <x:c r="V239" s="14"/>
      <x:c r="W239" s="14"/>
      <x:c r="X239" s="14"/>
      <x:c r="Y239" s="14"/>
    </x:row>
    <x:row r="240">
      <x:c r="A240" s="14"/>
      <x:c r="B240" s="14"/>
      <x:c r="C240" s="14"/>
      <x:c r="D240" s="14"/>
      <x:c r="E240" s="14"/>
      <x:c r="F240" s="14"/>
      <x:c r="G240" s="14"/>
      <x:c r="H240" s="14"/>
      <x:c r="I240" s="14"/>
      <x:c r="J240" s="14"/>
      <x:c r="K240" s="14"/>
      <x:c r="L240" s="14"/>
      <x:c r="M240" s="14"/>
      <x:c r="N240" s="14"/>
      <x:c r="O240" s="14"/>
      <x:c r="P240" s="14"/>
      <x:c r="Q240" s="14"/>
      <x:c r="R240" s="14"/>
      <x:c r="S240" s="14"/>
      <x:c r="T240" s="14"/>
      <x:c r="U240" s="14"/>
      <x:c r="V240" s="14"/>
      <x:c r="W240" s="14"/>
      <x:c r="X240" s="14"/>
      <x:c r="Y240" s="14"/>
    </x:row>
    <x:row r="241">
      <x:c r="A241" s="14"/>
      <x:c r="B241" s="14"/>
      <x:c r="C241" s="14"/>
      <x:c r="D241" s="14"/>
      <x:c r="E241" s="14"/>
      <x:c r="F241" s="14"/>
      <x:c r="G241" s="14"/>
      <x:c r="H241" s="14"/>
      <x:c r="I241" s="14"/>
      <x:c r="J241" s="14"/>
      <x:c r="K241" s="14"/>
      <x:c r="L241" s="14"/>
      <x:c r="M241" s="14"/>
      <x:c r="N241" s="14"/>
      <x:c r="O241" s="14"/>
      <x:c r="P241" s="14"/>
      <x:c r="Q241" s="14"/>
      <x:c r="R241" s="14"/>
      <x:c r="S241" s="14"/>
      <x:c r="T241" s="14"/>
      <x:c r="U241" s="14"/>
      <x:c r="V241" s="14"/>
      <x:c r="W241" s="14"/>
      <x:c r="X241" s="14"/>
      <x:c r="Y241" s="14"/>
    </x:row>
    <x:row r="242">
      <x:c r="A242" s="14"/>
      <x:c r="B242" s="14"/>
      <x:c r="C242" s="14"/>
      <x:c r="D242" s="14"/>
      <x:c r="E242" s="14"/>
      <x:c r="F242" s="14"/>
      <x:c r="G242" s="14"/>
      <x:c r="H242" s="14"/>
      <x:c r="I242" s="14"/>
      <x:c r="J242" s="14"/>
      <x:c r="K242" s="14"/>
      <x:c r="L242" s="14"/>
      <x:c r="M242" s="14"/>
      <x:c r="N242" s="14"/>
      <x:c r="O242" s="14"/>
      <x:c r="P242" s="14"/>
      <x:c r="Q242" s="14"/>
      <x:c r="R242" s="14"/>
      <x:c r="S242" s="14"/>
      <x:c r="T242" s="14"/>
      <x:c r="U242" s="14"/>
      <x:c r="V242" s="14"/>
      <x:c r="W242" s="14"/>
      <x:c r="X242" s="14"/>
      <x:c r="Y242" s="14"/>
    </x:row>
    <x:row r="243">
      <x:c r="A243" s="14"/>
      <x:c r="B243" s="14"/>
      <x:c r="C243" s="14"/>
      <x:c r="D243" s="14"/>
      <x:c r="E243" s="14"/>
      <x:c r="F243" s="14"/>
      <x:c r="G243" s="14"/>
      <x:c r="H243" s="14"/>
      <x:c r="I243" s="14"/>
      <x:c r="J243" s="14"/>
      <x:c r="K243" s="14"/>
      <x:c r="L243" s="14"/>
      <x:c r="M243" s="14"/>
      <x:c r="N243" s="14"/>
      <x:c r="O243" s="14"/>
      <x:c r="P243" s="14"/>
      <x:c r="Q243" s="14"/>
      <x:c r="R243" s="14"/>
      <x:c r="S243" s="14"/>
      <x:c r="T243" s="14"/>
      <x:c r="U243" s="14"/>
      <x:c r="V243" s="14"/>
      <x:c r="W243" s="14"/>
      <x:c r="X243" s="14"/>
      <x:c r="Y243" s="14"/>
    </x:row>
    <x:row r="244">
      <x:c r="A244" s="14"/>
      <x:c r="B244" s="14"/>
      <x:c r="C244" s="14"/>
      <x:c r="D244" s="14"/>
      <x:c r="E244" s="14"/>
      <x:c r="F244" s="14"/>
      <x:c r="G244" s="14"/>
      <x:c r="H244" s="14"/>
      <x:c r="I244" s="14"/>
      <x:c r="J244" s="14"/>
      <x:c r="K244" s="14"/>
      <x:c r="L244" s="14"/>
      <x:c r="M244" s="14"/>
      <x:c r="N244" s="14"/>
      <x:c r="O244" s="14"/>
      <x:c r="P244" s="14"/>
      <x:c r="Q244" s="14"/>
      <x:c r="R244" s="14"/>
      <x:c r="S244" s="14"/>
      <x:c r="T244" s="14"/>
      <x:c r="U244" s="14"/>
      <x:c r="V244" s="14"/>
      <x:c r="W244" s="14"/>
      <x:c r="X244" s="14"/>
      <x:c r="Y244" s="14"/>
    </x:row>
    <x:row r="245">
      <x:c r="A245" s="14"/>
      <x:c r="B245" s="14"/>
      <x:c r="C245" s="14"/>
      <x:c r="D245" s="14"/>
      <x:c r="E245" s="14"/>
      <x:c r="F245" s="14"/>
      <x:c r="G245" s="14"/>
      <x:c r="H245" s="14"/>
      <x:c r="I245" s="14"/>
      <x:c r="J245" s="14"/>
      <x:c r="K245" s="14"/>
      <x:c r="L245" s="14"/>
      <x:c r="M245" s="14"/>
      <x:c r="N245" s="14"/>
      <x:c r="O245" s="14"/>
      <x:c r="P245" s="14"/>
      <x:c r="Q245" s="14"/>
      <x:c r="R245" s="14"/>
      <x:c r="S245" s="14"/>
      <x:c r="T245" s="14"/>
      <x:c r="U245" s="14"/>
      <x:c r="V245" s="14"/>
      <x:c r="W245" s="14"/>
      <x:c r="X245" s="14"/>
      <x:c r="Y245" s="14"/>
    </x:row>
    <x:row r="246">
      <x:c r="A246" s="14"/>
      <x:c r="B246" s="14"/>
      <x:c r="C246" s="14"/>
      <x:c r="D246" s="14"/>
      <x:c r="E246" s="14"/>
      <x:c r="F246" s="14"/>
      <x:c r="G246" s="14"/>
      <x:c r="H246" s="14"/>
      <x:c r="I246" s="14"/>
      <x:c r="J246" s="14"/>
      <x:c r="K246" s="14"/>
      <x:c r="L246" s="14"/>
      <x:c r="M246" s="14"/>
      <x:c r="N246" s="14"/>
      <x:c r="O246" s="14"/>
      <x:c r="P246" s="14"/>
      <x:c r="Q246" s="14"/>
      <x:c r="R246" s="14"/>
      <x:c r="S246" s="14"/>
      <x:c r="T246" s="14"/>
      <x:c r="U246" s="14"/>
      <x:c r="V246" s="14"/>
      <x:c r="W246" s="14"/>
      <x:c r="X246" s="14"/>
      <x:c r="Y246" s="14"/>
    </x:row>
    <x:row r="247">
      <x:c r="A247" s="14"/>
      <x:c r="B247" s="14"/>
      <x:c r="C247" s="14"/>
      <x:c r="D247" s="14"/>
      <x:c r="E247" s="14"/>
      <x:c r="F247" s="14"/>
      <x:c r="G247" s="14"/>
      <x:c r="H247" s="14"/>
      <x:c r="I247" s="14"/>
      <x:c r="J247" s="14"/>
      <x:c r="K247" s="14"/>
      <x:c r="L247" s="14"/>
      <x:c r="M247" s="14"/>
      <x:c r="N247" s="14"/>
      <x:c r="O247" s="14"/>
      <x:c r="P247" s="14"/>
      <x:c r="Q247" s="14"/>
      <x:c r="R247" s="14"/>
      <x:c r="S247" s="14"/>
      <x:c r="T247" s="14"/>
      <x:c r="U247" s="14"/>
      <x:c r="V247" s="14"/>
      <x:c r="W247" s="14"/>
      <x:c r="X247" s="14"/>
      <x:c r="Y247" s="14"/>
    </x:row>
    <x:row r="248">
      <x:c r="A248" s="14"/>
      <x:c r="B248" s="14"/>
      <x:c r="C248" s="14"/>
      <x:c r="D248" s="14"/>
      <x:c r="E248" s="14"/>
      <x:c r="F248" s="14"/>
      <x:c r="G248" s="14"/>
      <x:c r="H248" s="14"/>
      <x:c r="I248" s="14"/>
      <x:c r="J248" s="14"/>
      <x:c r="K248" s="14"/>
      <x:c r="L248" s="14"/>
      <x:c r="M248" s="14"/>
      <x:c r="N248" s="14"/>
      <x:c r="O248" s="14"/>
      <x:c r="P248" s="14"/>
      <x:c r="Q248" s="14"/>
      <x:c r="R248" s="14"/>
      <x:c r="S248" s="14"/>
      <x:c r="T248" s="14"/>
      <x:c r="U248" s="14"/>
      <x:c r="V248" s="14"/>
      <x:c r="W248" s="14"/>
      <x:c r="X248" s="14"/>
      <x:c r="Y248" s="14"/>
    </x:row>
    <x:row r="249">
      <x:c r="A249" s="14"/>
      <x:c r="B249" s="14"/>
      <x:c r="C249" s="14"/>
      <x:c r="D249" s="14"/>
      <x:c r="E249" s="14"/>
      <x:c r="F249" s="14"/>
      <x:c r="G249" s="14"/>
      <x:c r="H249" s="14"/>
      <x:c r="I249" s="14"/>
      <x:c r="J249" s="14"/>
      <x:c r="K249" s="14"/>
      <x:c r="L249" s="14"/>
      <x:c r="M249" s="14"/>
      <x:c r="N249" s="14"/>
      <x:c r="O249" s="14"/>
      <x:c r="P249" s="14"/>
      <x:c r="Q249" s="14"/>
      <x:c r="R249" s="14"/>
      <x:c r="S249" s="14"/>
      <x:c r="T249" s="14"/>
      <x:c r="U249" s="14"/>
      <x:c r="V249" s="14"/>
      <x:c r="W249" s="14"/>
      <x:c r="X249" s="14"/>
      <x:c r="Y249" s="14"/>
    </x:row>
    <x:row r="250">
      <x:c r="A250" s="14"/>
      <x:c r="B250" s="14"/>
      <x:c r="C250" s="14"/>
      <x:c r="D250" s="14"/>
      <x:c r="E250" s="14"/>
      <x:c r="F250" s="14"/>
      <x:c r="G250" s="14"/>
      <x:c r="H250" s="14"/>
      <x:c r="I250" s="14"/>
      <x:c r="J250" s="14"/>
      <x:c r="K250" s="14"/>
      <x:c r="L250" s="14"/>
      <x:c r="M250" s="14"/>
      <x:c r="N250" s="14"/>
      <x:c r="O250" s="14"/>
      <x:c r="P250" s="14"/>
      <x:c r="Q250" s="14"/>
      <x:c r="R250" s="14"/>
      <x:c r="S250" s="14"/>
      <x:c r="T250" s="14"/>
      <x:c r="U250" s="14"/>
      <x:c r="V250" s="14"/>
      <x:c r="W250" s="14"/>
      <x:c r="X250" s="14"/>
      <x:c r="Y250" s="14"/>
    </x:row>
    <x:row r="251">
      <x:c r="A251" s="14"/>
      <x:c r="B251" s="14"/>
      <x:c r="C251" s="14"/>
      <x:c r="D251" s="14"/>
      <x:c r="E251" s="14"/>
      <x:c r="F251" s="14"/>
      <x:c r="G251" s="14"/>
      <x:c r="H251" s="14"/>
      <x:c r="I251" s="14"/>
      <x:c r="J251" s="14"/>
      <x:c r="K251" s="14"/>
      <x:c r="L251" s="14"/>
      <x:c r="M251" s="14"/>
      <x:c r="N251" s="14"/>
      <x:c r="O251" s="14"/>
      <x:c r="P251" s="14"/>
      <x:c r="Q251" s="14"/>
      <x:c r="R251" s="14"/>
      <x:c r="S251" s="14"/>
      <x:c r="T251" s="14"/>
      <x:c r="U251" s="14"/>
      <x:c r="V251" s="14"/>
      <x:c r="W251" s="14"/>
      <x:c r="X251" s="14"/>
      <x:c r="Y251" s="14"/>
    </x:row>
    <x:row r="252">
      <x:c r="A252" s="14"/>
      <x:c r="B252" s="14"/>
      <x:c r="C252" s="14"/>
      <x:c r="D252" s="14"/>
      <x:c r="E252" s="14"/>
      <x:c r="F252" s="14"/>
      <x:c r="G252" s="14"/>
      <x:c r="H252" s="14"/>
      <x:c r="I252" s="14"/>
      <x:c r="J252" s="14"/>
      <x:c r="K252" s="14"/>
      <x:c r="L252" s="14"/>
      <x:c r="M252" s="14"/>
      <x:c r="N252" s="14"/>
      <x:c r="O252" s="14"/>
      <x:c r="P252" s="14"/>
      <x:c r="Q252" s="14"/>
      <x:c r="R252" s="14"/>
      <x:c r="S252" s="14"/>
      <x:c r="T252" s="14"/>
      <x:c r="U252" s="14"/>
      <x:c r="V252" s="14"/>
      <x:c r="W252" s="14"/>
      <x:c r="X252" s="14"/>
      <x:c r="Y252" s="14"/>
    </x:row>
    <x:row r="253">
      <x:c r="A253" s="14"/>
      <x:c r="B253" s="14"/>
      <x:c r="C253" s="14"/>
      <x:c r="D253" s="14"/>
      <x:c r="E253" s="14"/>
      <x:c r="F253" s="14"/>
      <x:c r="G253" s="14"/>
      <x:c r="H253" s="14"/>
      <x:c r="I253" s="14"/>
      <x:c r="J253" s="14"/>
      <x:c r="K253" s="14"/>
      <x:c r="L253" s="14"/>
      <x:c r="M253" s="14"/>
      <x:c r="N253" s="14"/>
      <x:c r="O253" s="14"/>
      <x:c r="P253" s="14"/>
      <x:c r="Q253" s="14"/>
      <x:c r="R253" s="14"/>
      <x:c r="S253" s="14"/>
      <x:c r="T253" s="14"/>
      <x:c r="U253" s="14"/>
      <x:c r="V253" s="14"/>
      <x:c r="W253" s="14"/>
      <x:c r="X253" s="14"/>
      <x:c r="Y253" s="14"/>
    </x:row>
    <x:row r="254">
      <x:c r="A254" s="14"/>
      <x:c r="B254" s="14"/>
      <x:c r="C254" s="14"/>
      <x:c r="D254" s="14"/>
      <x:c r="E254" s="14"/>
      <x:c r="F254" s="14"/>
      <x:c r="G254" s="14"/>
      <x:c r="H254" s="14"/>
      <x:c r="I254" s="14"/>
      <x:c r="J254" s="14"/>
      <x:c r="K254" s="14"/>
      <x:c r="L254" s="14"/>
      <x:c r="M254" s="14"/>
      <x:c r="N254" s="14"/>
      <x:c r="O254" s="14"/>
      <x:c r="P254" s="14"/>
      <x:c r="Q254" s="14"/>
      <x:c r="R254" s="14"/>
      <x:c r="S254" s="14"/>
      <x:c r="T254" s="14"/>
      <x:c r="U254" s="14"/>
      <x:c r="V254" s="14"/>
      <x:c r="W254" s="14"/>
      <x:c r="X254" s="14"/>
      <x:c r="Y254" s="14"/>
    </x:row>
    <x:row r="255">
      <x:c r="A255" s="14"/>
      <x:c r="B255" s="14"/>
      <x:c r="C255" s="14"/>
      <x:c r="D255" s="14"/>
      <x:c r="E255" s="14"/>
      <x:c r="F255" s="14"/>
      <x:c r="G255" s="14"/>
      <x:c r="H255" s="14"/>
      <x:c r="I255" s="14"/>
      <x:c r="J255" s="14"/>
      <x:c r="K255" s="14"/>
      <x:c r="L255" s="14"/>
      <x:c r="M255" s="14"/>
      <x:c r="N255" s="14"/>
      <x:c r="O255" s="14"/>
      <x:c r="P255" s="14"/>
      <x:c r="Q255" s="14"/>
      <x:c r="R255" s="14"/>
      <x:c r="S255" s="14"/>
      <x:c r="T255" s="14"/>
      <x:c r="U255" s="14"/>
      <x:c r="V255" s="14"/>
      <x:c r="W255" s="14"/>
      <x:c r="X255" s="14"/>
      <x:c r="Y255" s="14"/>
    </x:row>
    <x:row r="256">
      <x:c r="A256" s="14"/>
      <x:c r="B256" s="14"/>
      <x:c r="C256" s="14"/>
      <x:c r="D256" s="14"/>
      <x:c r="E256" s="14"/>
      <x:c r="F256" s="14"/>
      <x:c r="G256" s="14"/>
      <x:c r="H256" s="14"/>
      <x:c r="I256" s="14"/>
      <x:c r="J256" s="14"/>
      <x:c r="K256" s="14"/>
      <x:c r="L256" s="14"/>
      <x:c r="M256" s="14"/>
      <x:c r="N256" s="14"/>
      <x:c r="O256" s="14"/>
      <x:c r="P256" s="14"/>
      <x:c r="Q256" s="14"/>
      <x:c r="R256" s="14"/>
      <x:c r="S256" s="14"/>
      <x:c r="T256" s="14"/>
      <x:c r="U256" s="14"/>
      <x:c r="V256" s="14"/>
      <x:c r="W256" s="14"/>
      <x:c r="X256" s="14"/>
      <x:c r="Y256" s="14"/>
    </x:row>
    <x:row r="257">
      <x:c r="A257" s="14"/>
      <x:c r="B257" s="14"/>
      <x:c r="C257" s="14"/>
      <x:c r="D257" s="14"/>
      <x:c r="E257" s="14"/>
      <x:c r="F257" s="14"/>
      <x:c r="G257" s="14"/>
      <x:c r="H257" s="14"/>
      <x:c r="I257" s="14"/>
      <x:c r="J257" s="14"/>
      <x:c r="K257" s="14"/>
      <x:c r="L257" s="14"/>
      <x:c r="M257" s="14"/>
      <x:c r="N257" s="14"/>
      <x:c r="O257" s="14"/>
      <x:c r="P257" s="14"/>
      <x:c r="Q257" s="14"/>
      <x:c r="R257" s="14"/>
      <x:c r="S257" s="14"/>
      <x:c r="T257" s="14"/>
      <x:c r="U257" s="14"/>
      <x:c r="V257" s="14"/>
      <x:c r="W257" s="14"/>
      <x:c r="X257" s="14"/>
      <x:c r="Y257" s="14"/>
    </x:row>
    <x:row r="258">
      <x:c r="A258" s="14"/>
      <x:c r="B258" s="14"/>
      <x:c r="C258" s="14"/>
      <x:c r="D258" s="14"/>
      <x:c r="E258" s="14"/>
      <x:c r="F258" s="14"/>
      <x:c r="G258" s="14"/>
      <x:c r="H258" s="14"/>
      <x:c r="I258" s="14"/>
      <x:c r="J258" s="14"/>
      <x:c r="K258" s="14"/>
      <x:c r="L258" s="14"/>
      <x:c r="M258" s="14"/>
      <x:c r="N258" s="14"/>
      <x:c r="O258" s="14"/>
      <x:c r="P258" s="14"/>
      <x:c r="Q258" s="14"/>
      <x:c r="R258" s="14"/>
      <x:c r="S258" s="14"/>
      <x:c r="T258" s="14"/>
      <x:c r="U258" s="14"/>
      <x:c r="V258" s="14"/>
      <x:c r="W258" s="14"/>
      <x:c r="X258" s="14"/>
      <x:c r="Y258" s="14"/>
    </x:row>
    <x:row r="259">
      <x:c r="A259" s="14"/>
      <x:c r="B259" s="14"/>
      <x:c r="C259" s="14"/>
      <x:c r="D259" s="14"/>
      <x:c r="E259" s="14"/>
      <x:c r="F259" s="14"/>
      <x:c r="G259" s="14"/>
      <x:c r="H259" s="14"/>
      <x:c r="I259" s="14"/>
      <x:c r="J259" s="14"/>
      <x:c r="K259" s="14"/>
      <x:c r="L259" s="14"/>
      <x:c r="M259" s="14"/>
      <x:c r="N259" s="14"/>
      <x:c r="O259" s="14"/>
      <x:c r="P259" s="14"/>
      <x:c r="Q259" s="14"/>
      <x:c r="R259" s="14"/>
      <x:c r="S259" s="14"/>
      <x:c r="T259" s="14"/>
      <x:c r="U259" s="14"/>
      <x:c r="V259" s="14"/>
      <x:c r="W259" s="14"/>
      <x:c r="X259" s="14"/>
      <x:c r="Y259" s="14"/>
    </x:row>
    <x:row r="260">
      <x:c r="A260" s="14"/>
      <x:c r="B260" s="14"/>
      <x:c r="C260" s="14"/>
      <x:c r="D260" s="14"/>
      <x:c r="E260" s="14"/>
      <x:c r="F260" s="14"/>
      <x:c r="G260" s="14"/>
      <x:c r="H260" s="14"/>
      <x:c r="I260" s="14"/>
      <x:c r="J260" s="14"/>
      <x:c r="K260" s="14"/>
      <x:c r="L260" s="14"/>
      <x:c r="M260" s="14"/>
      <x:c r="N260" s="14"/>
      <x:c r="O260" s="14"/>
      <x:c r="P260" s="14"/>
      <x:c r="Q260" s="14"/>
      <x:c r="R260" s="14"/>
      <x:c r="S260" s="14"/>
      <x:c r="T260" s="14"/>
      <x:c r="U260" s="14"/>
      <x:c r="V260" s="14"/>
      <x:c r="W260" s="14"/>
      <x:c r="X260" s="14"/>
      <x:c r="Y260" s="14"/>
    </x:row>
    <x:row r="261">
      <x:c r="A261" s="14"/>
      <x:c r="B261" s="14"/>
      <x:c r="C261" s="14"/>
      <x:c r="D261" s="14"/>
      <x:c r="E261" s="14"/>
      <x:c r="F261" s="14"/>
      <x:c r="G261" s="14"/>
      <x:c r="H261" s="14"/>
      <x:c r="I261" s="14"/>
      <x:c r="J261" s="14"/>
      <x:c r="K261" s="14"/>
      <x:c r="L261" s="14"/>
      <x:c r="M261" s="14"/>
      <x:c r="N261" s="14"/>
      <x:c r="O261" s="14"/>
      <x:c r="P261" s="14"/>
      <x:c r="Q261" s="14"/>
      <x:c r="R261" s="14"/>
      <x:c r="S261" s="14"/>
      <x:c r="T261" s="14"/>
      <x:c r="U261" s="14"/>
      <x:c r="V261" s="14"/>
      <x:c r="W261" s="14"/>
      <x:c r="X261" s="14"/>
      <x:c r="Y261" s="14"/>
    </x:row>
    <x:row r="262">
      <x:c r="A262" s="14"/>
      <x:c r="B262" s="14"/>
      <x:c r="C262" s="14"/>
      <x:c r="D262" s="14"/>
      <x:c r="E262" s="14"/>
      <x:c r="F262" s="14"/>
      <x:c r="G262" s="14"/>
      <x:c r="H262" s="14"/>
      <x:c r="I262" s="14"/>
      <x:c r="J262" s="14"/>
      <x:c r="K262" s="14"/>
      <x:c r="L262" s="14"/>
      <x:c r="M262" s="14"/>
      <x:c r="N262" s="14"/>
      <x:c r="O262" s="14"/>
      <x:c r="P262" s="14"/>
      <x:c r="Q262" s="14"/>
      <x:c r="R262" s="14"/>
      <x:c r="S262" s="14"/>
      <x:c r="T262" s="14"/>
      <x:c r="U262" s="14"/>
      <x:c r="V262" s="14"/>
      <x:c r="W262" s="14"/>
      <x:c r="X262" s="14"/>
      <x:c r="Y262" s="14"/>
    </x:row>
    <x:row r="263">
      <x:c r="A263" s="14"/>
      <x:c r="B263" s="14"/>
      <x:c r="C263" s="14"/>
      <x:c r="D263" s="14"/>
      <x:c r="E263" s="14"/>
      <x:c r="F263" s="14"/>
      <x:c r="G263" s="14"/>
      <x:c r="H263" s="14"/>
      <x:c r="I263" s="14"/>
      <x:c r="J263" s="14"/>
      <x:c r="K263" s="14"/>
      <x:c r="L263" s="14"/>
      <x:c r="M263" s="14"/>
      <x:c r="N263" s="14"/>
      <x:c r="O263" s="14"/>
      <x:c r="P263" s="14"/>
      <x:c r="Q263" s="14"/>
      <x:c r="R263" s="14"/>
      <x:c r="S263" s="14"/>
      <x:c r="T263" s="14"/>
      <x:c r="U263" s="14"/>
      <x:c r="V263" s="14"/>
      <x:c r="W263" s="14"/>
      <x:c r="X263" s="14"/>
      <x:c r="Y263" s="14"/>
    </x:row>
    <x:row r="264">
      <x:c r="A264" s="14"/>
      <x:c r="B264" s="14"/>
      <x:c r="C264" s="14"/>
      <x:c r="D264" s="14"/>
      <x:c r="E264" s="14"/>
      <x:c r="F264" s="14"/>
      <x:c r="G264" s="14"/>
      <x:c r="H264" s="14"/>
      <x:c r="I264" s="14"/>
      <x:c r="J264" s="14"/>
      <x:c r="K264" s="14"/>
      <x:c r="L264" s="14"/>
      <x:c r="M264" s="14"/>
      <x:c r="N264" s="14"/>
      <x:c r="O264" s="14"/>
      <x:c r="P264" s="14"/>
      <x:c r="Q264" s="14"/>
      <x:c r="R264" s="14"/>
      <x:c r="S264" s="14"/>
      <x:c r="T264" s="14"/>
      <x:c r="U264" s="14"/>
      <x:c r="V264" s="14"/>
      <x:c r="W264" s="14"/>
      <x:c r="X264" s="14"/>
      <x:c r="Y264" s="14"/>
    </x:row>
    <x:row r="265">
      <x:c r="A265" s="14"/>
      <x:c r="B265" s="14"/>
      <x:c r="C265" s="14"/>
      <x:c r="D265" s="14"/>
      <x:c r="E265" s="14"/>
      <x:c r="F265" s="14"/>
      <x:c r="G265" s="14"/>
      <x:c r="H265" s="14"/>
      <x:c r="I265" s="14"/>
      <x:c r="J265" s="14"/>
      <x:c r="K265" s="14"/>
      <x:c r="L265" s="14"/>
      <x:c r="M265" s="14"/>
      <x:c r="N265" s="14"/>
      <x:c r="O265" s="14"/>
      <x:c r="P265" s="14"/>
      <x:c r="Q265" s="14"/>
      <x:c r="R265" s="14"/>
      <x:c r="S265" s="14"/>
      <x:c r="T265" s="14"/>
      <x:c r="U265" s="14"/>
      <x:c r="V265" s="14"/>
      <x:c r="W265" s="14"/>
      <x:c r="X265" s="14"/>
      <x:c r="Y265" s="14"/>
    </x:row>
    <x:row r="266">
      <x:c r="A266" s="14"/>
      <x:c r="B266" s="14"/>
      <x:c r="C266" s="14"/>
      <x:c r="D266" s="14"/>
      <x:c r="E266" s="14"/>
      <x:c r="F266" s="14"/>
      <x:c r="G266" s="14"/>
      <x:c r="H266" s="14"/>
      <x:c r="I266" s="14"/>
      <x:c r="J266" s="14"/>
      <x:c r="K266" s="14"/>
      <x:c r="L266" s="14"/>
      <x:c r="M266" s="14"/>
      <x:c r="N266" s="14"/>
      <x:c r="O266" s="14"/>
      <x:c r="P266" s="14"/>
      <x:c r="Q266" s="14"/>
      <x:c r="R266" s="14"/>
      <x:c r="S266" s="14"/>
      <x:c r="T266" s="14"/>
      <x:c r="U266" s="14"/>
      <x:c r="V266" s="14"/>
      <x:c r="W266" s="14"/>
      <x:c r="X266" s="14"/>
      <x:c r="Y266" s="14"/>
    </x:row>
    <x:row r="267">
      <x:c r="A267" s="14"/>
      <x:c r="B267" s="14"/>
      <x:c r="C267" s="14"/>
      <x:c r="D267" s="14"/>
      <x:c r="E267" s="14"/>
      <x:c r="F267" s="14"/>
      <x:c r="G267" s="14"/>
      <x:c r="H267" s="14"/>
      <x:c r="I267" s="14"/>
      <x:c r="J267" s="14"/>
      <x:c r="K267" s="14"/>
      <x:c r="L267" s="14"/>
      <x:c r="M267" s="14"/>
      <x:c r="N267" s="14"/>
      <x:c r="O267" s="14"/>
      <x:c r="P267" s="14"/>
      <x:c r="Q267" s="14"/>
      <x:c r="R267" s="14"/>
      <x:c r="S267" s="14"/>
      <x:c r="T267" s="14"/>
      <x:c r="U267" s="14"/>
      <x:c r="V267" s="14"/>
      <x:c r="W267" s="14"/>
      <x:c r="X267" s="14"/>
      <x:c r="Y267" s="14"/>
    </x:row>
    <x:row r="268">
      <x:c r="A268" s="14"/>
      <x:c r="B268" s="14"/>
      <x:c r="C268" s="14"/>
      <x:c r="D268" s="14"/>
      <x:c r="E268" s="14"/>
      <x:c r="F268" s="14"/>
      <x:c r="G268" s="14"/>
      <x:c r="H268" s="14"/>
      <x:c r="I268" s="14"/>
      <x:c r="J268" s="14"/>
      <x:c r="K268" s="14"/>
      <x:c r="L268" s="14"/>
      <x:c r="M268" s="14"/>
      <x:c r="N268" s="14"/>
      <x:c r="O268" s="14"/>
      <x:c r="P268" s="14"/>
      <x:c r="Q268" s="14"/>
      <x:c r="R268" s="14"/>
      <x:c r="S268" s="14"/>
      <x:c r="T268" s="14"/>
      <x:c r="U268" s="14"/>
      <x:c r="V268" s="14"/>
      <x:c r="W268" s="14"/>
      <x:c r="X268" s="14"/>
      <x:c r="Y268" s="14"/>
    </x:row>
    <x:row r="269">
      <x:c r="A269" s="14"/>
      <x:c r="B269" s="14"/>
      <x:c r="C269" s="14"/>
      <x:c r="D269" s="14"/>
      <x:c r="E269" s="14"/>
      <x:c r="F269" s="14"/>
      <x:c r="G269" s="14"/>
      <x:c r="H269" s="14"/>
      <x:c r="I269" s="14"/>
      <x:c r="J269" s="14"/>
      <x:c r="K269" s="14"/>
      <x:c r="L269" s="14"/>
      <x:c r="M269" s="14"/>
      <x:c r="N269" s="14"/>
      <x:c r="O269" s="14"/>
      <x:c r="P269" s="14"/>
      <x:c r="Q269" s="14"/>
      <x:c r="R269" s="14"/>
      <x:c r="S269" s="14"/>
      <x:c r="T269" s="14"/>
      <x:c r="U269" s="14"/>
      <x:c r="V269" s="14"/>
      <x:c r="W269" s="14"/>
      <x:c r="X269" s="14"/>
      <x:c r="Y269" s="14"/>
    </x:row>
    <x:row r="270">
      <x:c r="A270" s="14"/>
      <x:c r="B270" s="14"/>
      <x:c r="C270" s="14"/>
      <x:c r="D270" s="14"/>
      <x:c r="E270" s="14"/>
      <x:c r="F270" s="14"/>
      <x:c r="G270" s="14"/>
      <x:c r="H270" s="14"/>
      <x:c r="I270" s="14"/>
      <x:c r="J270" s="14"/>
      <x:c r="K270" s="14"/>
      <x:c r="L270" s="14"/>
      <x:c r="M270" s="14"/>
      <x:c r="N270" s="14"/>
      <x:c r="O270" s="14"/>
      <x:c r="P270" s="14"/>
      <x:c r="Q270" s="14"/>
      <x:c r="R270" s="14"/>
      <x:c r="S270" s="14"/>
      <x:c r="T270" s="14"/>
      <x:c r="U270" s="14"/>
      <x:c r="V270" s="14"/>
      <x:c r="W270" s="14"/>
      <x:c r="X270" s="14"/>
      <x:c r="Y270" s="14"/>
    </x:row>
    <x:row r="271">
      <x:c r="A271" s="14"/>
      <x:c r="B271" s="14"/>
      <x:c r="C271" s="14"/>
      <x:c r="D271" s="14"/>
      <x:c r="E271" s="14"/>
      <x:c r="F271" s="14"/>
      <x:c r="G271" s="14"/>
      <x:c r="H271" s="14"/>
      <x:c r="I271" s="14"/>
      <x:c r="J271" s="14"/>
      <x:c r="K271" s="14"/>
      <x:c r="L271" s="14"/>
      <x:c r="M271" s="14"/>
      <x:c r="N271" s="14"/>
      <x:c r="O271" s="14"/>
      <x:c r="P271" s="14"/>
      <x:c r="Q271" s="14"/>
      <x:c r="R271" s="14"/>
      <x:c r="S271" s="14"/>
      <x:c r="T271" s="14"/>
      <x:c r="U271" s="14"/>
      <x:c r="V271" s="14"/>
      <x:c r="W271" s="14"/>
      <x:c r="X271" s="14"/>
      <x:c r="Y271" s="14"/>
    </x:row>
    <x:row r="272">
      <x:c r="A272" s="14"/>
      <x:c r="B272" s="14"/>
      <x:c r="C272" s="14"/>
      <x:c r="D272" s="14"/>
      <x:c r="E272" s="14"/>
      <x:c r="F272" s="14"/>
      <x:c r="G272" s="14"/>
      <x:c r="H272" s="14"/>
      <x:c r="I272" s="14"/>
      <x:c r="J272" s="14"/>
      <x:c r="K272" s="14"/>
      <x:c r="L272" s="14"/>
      <x:c r="M272" s="14"/>
      <x:c r="N272" s="14"/>
      <x:c r="O272" s="14"/>
      <x:c r="P272" s="14"/>
      <x:c r="Q272" s="14"/>
      <x:c r="R272" s="14"/>
      <x:c r="S272" s="14"/>
      <x:c r="T272" s="14"/>
      <x:c r="U272" s="14"/>
      <x:c r="V272" s="14"/>
      <x:c r="W272" s="14"/>
      <x:c r="X272" s="14"/>
      <x:c r="Y272" s="14"/>
    </x:row>
    <x:row r="273">
      <x:c r="A273" s="14"/>
      <x:c r="B273" s="14"/>
      <x:c r="C273" s="14"/>
      <x:c r="D273" s="14"/>
      <x:c r="E273" s="14"/>
      <x:c r="F273" s="14"/>
      <x:c r="G273" s="14"/>
      <x:c r="H273" s="14"/>
      <x:c r="I273" s="14"/>
      <x:c r="J273" s="14"/>
      <x:c r="K273" s="14"/>
      <x:c r="L273" s="14"/>
      <x:c r="M273" s="14"/>
      <x:c r="N273" s="14"/>
      <x:c r="O273" s="14"/>
      <x:c r="P273" s="14"/>
      <x:c r="Q273" s="14"/>
      <x:c r="R273" s="14"/>
      <x:c r="S273" s="14"/>
      <x:c r="T273" s="14"/>
      <x:c r="U273" s="14"/>
      <x:c r="V273" s="14"/>
      <x:c r="W273" s="14"/>
      <x:c r="X273" s="14"/>
      <x:c r="Y273" s="14"/>
    </x:row>
    <x:row r="274">
      <x:c r="A274" s="14"/>
      <x:c r="B274" s="14"/>
      <x:c r="C274" s="14"/>
      <x:c r="D274" s="14"/>
      <x:c r="E274" s="14"/>
      <x:c r="F274" s="14"/>
      <x:c r="G274" s="14"/>
      <x:c r="H274" s="14"/>
      <x:c r="I274" s="14"/>
      <x:c r="J274" s="14"/>
      <x:c r="K274" s="14"/>
      <x:c r="L274" s="14"/>
      <x:c r="M274" s="14"/>
      <x:c r="N274" s="14"/>
      <x:c r="O274" s="14"/>
      <x:c r="P274" s="14"/>
      <x:c r="Q274" s="14"/>
      <x:c r="R274" s="14"/>
      <x:c r="S274" s="14"/>
      <x:c r="T274" s="14"/>
      <x:c r="U274" s="14"/>
      <x:c r="V274" s="14"/>
      <x:c r="W274" s="14"/>
      <x:c r="X274" s="14"/>
      <x:c r="Y274" s="14"/>
    </x:row>
    <x:row r="275">
      <x:c r="A275" s="14"/>
      <x:c r="B275" s="14"/>
      <x:c r="C275" s="14"/>
      <x:c r="D275" s="14"/>
      <x:c r="E275" s="14"/>
      <x:c r="F275" s="14"/>
      <x:c r="G275" s="14"/>
      <x:c r="H275" s="14"/>
      <x:c r="I275" s="14"/>
      <x:c r="J275" s="14"/>
      <x:c r="K275" s="14"/>
      <x:c r="L275" s="14"/>
      <x:c r="M275" s="14"/>
      <x:c r="N275" s="14"/>
      <x:c r="O275" s="14"/>
      <x:c r="P275" s="14"/>
      <x:c r="Q275" s="14"/>
      <x:c r="R275" s="14"/>
      <x:c r="S275" s="14"/>
      <x:c r="T275" s="14"/>
      <x:c r="U275" s="14"/>
      <x:c r="V275" s="14"/>
      <x:c r="W275" s="14"/>
      <x:c r="X275" s="14"/>
      <x:c r="Y275" s="14"/>
    </x:row>
    <x:row r="276">
      <x:c r="A276" s="14"/>
      <x:c r="B276" s="14"/>
      <x:c r="C276" s="14"/>
      <x:c r="D276" s="14"/>
      <x:c r="E276" s="14"/>
      <x:c r="F276" s="14"/>
      <x:c r="G276" s="14"/>
      <x:c r="H276" s="14"/>
      <x:c r="I276" s="14"/>
      <x:c r="J276" s="14"/>
      <x:c r="K276" s="14"/>
      <x:c r="L276" s="14"/>
      <x:c r="M276" s="14"/>
      <x:c r="N276" s="14"/>
      <x:c r="O276" s="14"/>
      <x:c r="P276" s="14"/>
      <x:c r="Q276" s="14"/>
      <x:c r="R276" s="14"/>
      <x:c r="S276" s="14"/>
      <x:c r="T276" s="14"/>
      <x:c r="U276" s="14"/>
      <x:c r="V276" s="14"/>
      <x:c r="W276" s="14"/>
      <x:c r="X276" s="14"/>
      <x:c r="Y276" s="14"/>
    </x:row>
    <x:row r="277">
      <x:c r="A277" s="14"/>
      <x:c r="B277" s="14"/>
      <x:c r="C277" s="14"/>
      <x:c r="D277" s="14"/>
      <x:c r="E277" s="14"/>
      <x:c r="F277" s="14"/>
      <x:c r="G277" s="14"/>
      <x:c r="H277" s="14"/>
      <x:c r="I277" s="14"/>
      <x:c r="J277" s="14"/>
      <x:c r="K277" s="14"/>
      <x:c r="L277" s="14"/>
      <x:c r="M277" s="14"/>
      <x:c r="N277" s="14"/>
      <x:c r="O277" s="14"/>
      <x:c r="P277" s="14"/>
      <x:c r="Q277" s="14"/>
      <x:c r="R277" s="14"/>
      <x:c r="S277" s="14"/>
      <x:c r="T277" s="14"/>
      <x:c r="U277" s="14"/>
      <x:c r="V277" s="14"/>
      <x:c r="W277" s="14"/>
      <x:c r="X277" s="14"/>
      <x:c r="Y277" s="14"/>
    </x:row>
    <x:row r="278">
      <x:c r="A278" s="14"/>
      <x:c r="B278" s="14"/>
      <x:c r="C278" s="14"/>
      <x:c r="D278" s="14"/>
      <x:c r="E278" s="14"/>
      <x:c r="F278" s="14"/>
      <x:c r="G278" s="14"/>
      <x:c r="H278" s="14"/>
      <x:c r="I278" s="14"/>
      <x:c r="J278" s="14"/>
      <x:c r="K278" s="14"/>
      <x:c r="L278" s="14"/>
      <x:c r="M278" s="14"/>
      <x:c r="N278" s="14"/>
      <x:c r="O278" s="14"/>
      <x:c r="P278" s="14"/>
      <x:c r="Q278" s="14"/>
      <x:c r="R278" s="14"/>
      <x:c r="S278" s="14"/>
      <x:c r="T278" s="14"/>
      <x:c r="U278" s="14"/>
      <x:c r="V278" s="14"/>
      <x:c r="W278" s="14"/>
      <x:c r="X278" s="14"/>
      <x:c r="Y278" s="14"/>
    </x:row>
    <x:row r="279">
      <x:c r="A279" s="14"/>
      <x:c r="B279" s="14"/>
      <x:c r="C279" s="14"/>
      <x:c r="D279" s="14"/>
      <x:c r="E279" s="14"/>
      <x:c r="F279" s="14"/>
      <x:c r="G279" s="14"/>
      <x:c r="H279" s="14"/>
      <x:c r="I279" s="14"/>
      <x:c r="J279" s="14"/>
      <x:c r="K279" s="14"/>
      <x:c r="L279" s="14"/>
      <x:c r="M279" s="14"/>
      <x:c r="N279" s="14"/>
      <x:c r="O279" s="14"/>
      <x:c r="P279" s="14"/>
      <x:c r="Q279" s="14"/>
      <x:c r="R279" s="14"/>
      <x:c r="S279" s="14"/>
      <x:c r="T279" s="14"/>
      <x:c r="U279" s="14"/>
      <x:c r="V279" s="14"/>
      <x:c r="W279" s="14"/>
      <x:c r="X279" s="14"/>
      <x:c r="Y279" s="14"/>
    </x:row>
    <x:row r="280">
      <x:c r="A280" s="14"/>
      <x:c r="B280" s="14"/>
      <x:c r="C280" s="14"/>
      <x:c r="D280" s="14"/>
      <x:c r="E280" s="14"/>
      <x:c r="F280" s="14"/>
      <x:c r="G280" s="14"/>
      <x:c r="H280" s="14"/>
      <x:c r="I280" s="14"/>
      <x:c r="J280" s="14"/>
      <x:c r="K280" s="14"/>
      <x:c r="L280" s="14"/>
      <x:c r="M280" s="14"/>
      <x:c r="N280" s="14"/>
      <x:c r="O280" s="14"/>
      <x:c r="P280" s="14"/>
      <x:c r="Q280" s="14"/>
      <x:c r="R280" s="14"/>
      <x:c r="S280" s="14"/>
      <x:c r="T280" s="14"/>
      <x:c r="U280" s="14"/>
      <x:c r="V280" s="14"/>
      <x:c r="W280" s="14"/>
      <x:c r="X280" s="14"/>
      <x:c r="Y280" s="14"/>
    </x:row>
    <x:row r="281">
      <x:c r="A281" s="14"/>
      <x:c r="B281" s="14"/>
      <x:c r="C281" s="14"/>
      <x:c r="D281" s="14"/>
      <x:c r="E281" s="14"/>
      <x:c r="F281" s="14"/>
      <x:c r="G281" s="14"/>
      <x:c r="H281" s="14"/>
      <x:c r="I281" s="14"/>
      <x:c r="J281" s="14"/>
      <x:c r="K281" s="14"/>
      <x:c r="L281" s="14"/>
      <x:c r="M281" s="14"/>
      <x:c r="N281" s="14"/>
      <x:c r="O281" s="14"/>
      <x:c r="P281" s="14"/>
      <x:c r="Q281" s="14"/>
      <x:c r="R281" s="14"/>
      <x:c r="S281" s="14"/>
      <x:c r="T281" s="14"/>
      <x:c r="U281" s="14"/>
      <x:c r="V281" s="14"/>
      <x:c r="W281" s="14"/>
      <x:c r="X281" s="14"/>
      <x:c r="Y281" s="14"/>
    </x:row>
    <x:row r="282">
      <x:c r="A282" s="14"/>
      <x:c r="B282" s="14"/>
      <x:c r="C282" s="14"/>
      <x:c r="D282" s="14"/>
      <x:c r="E282" s="14"/>
      <x:c r="F282" s="14"/>
      <x:c r="G282" s="14"/>
      <x:c r="H282" s="14"/>
      <x:c r="I282" s="14"/>
      <x:c r="J282" s="14"/>
      <x:c r="K282" s="14"/>
      <x:c r="L282" s="14"/>
      <x:c r="M282" s="14"/>
      <x:c r="N282" s="14"/>
      <x:c r="O282" s="14"/>
      <x:c r="P282" s="14"/>
      <x:c r="Q282" s="14"/>
      <x:c r="R282" s="14"/>
      <x:c r="S282" s="14"/>
      <x:c r="T282" s="14"/>
      <x:c r="U282" s="14"/>
      <x:c r="V282" s="14"/>
      <x:c r="W282" s="14"/>
      <x:c r="X282" s="14"/>
      <x:c r="Y282" s="14"/>
    </x:row>
    <x:row r="283">
      <x:c r="A283" s="14"/>
      <x:c r="B283" s="14"/>
      <x:c r="C283" s="14"/>
      <x:c r="D283" s="14"/>
      <x:c r="E283" s="14"/>
      <x:c r="F283" s="14"/>
      <x:c r="G283" s="14"/>
      <x:c r="H283" s="14"/>
      <x:c r="I283" s="14"/>
      <x:c r="J283" s="14"/>
      <x:c r="K283" s="14"/>
      <x:c r="L283" s="14"/>
      <x:c r="M283" s="14"/>
      <x:c r="N283" s="14"/>
      <x:c r="O283" s="14"/>
      <x:c r="P283" s="14"/>
      <x:c r="Q283" s="14"/>
      <x:c r="R283" s="14"/>
      <x:c r="S283" s="14"/>
      <x:c r="T283" s="14"/>
      <x:c r="U283" s="14"/>
      <x:c r="V283" s="14"/>
      <x:c r="W283" s="14"/>
      <x:c r="X283" s="14"/>
      <x:c r="Y283" s="14"/>
    </x:row>
    <x:row r="284">
      <x:c r="A284" s="14"/>
      <x:c r="B284" s="14"/>
      <x:c r="C284" s="14"/>
      <x:c r="D284" s="14"/>
      <x:c r="E284" s="14"/>
      <x:c r="F284" s="14"/>
      <x:c r="G284" s="14"/>
      <x:c r="H284" s="14"/>
      <x:c r="I284" s="14"/>
      <x:c r="J284" s="14"/>
      <x:c r="K284" s="14"/>
      <x:c r="L284" s="14"/>
      <x:c r="M284" s="14"/>
      <x:c r="N284" s="14"/>
      <x:c r="O284" s="14"/>
      <x:c r="P284" s="14"/>
      <x:c r="Q284" s="14"/>
      <x:c r="R284" s="14"/>
      <x:c r="S284" s="14"/>
      <x:c r="T284" s="14"/>
      <x:c r="U284" s="14"/>
      <x:c r="V284" s="14"/>
      <x:c r="W284" s="14"/>
      <x:c r="X284" s="14"/>
      <x:c r="Y284" s="14"/>
    </x:row>
    <x:row r="285">
      <x:c r="A285" s="14"/>
      <x:c r="B285" s="14"/>
      <x:c r="C285" s="14"/>
      <x:c r="D285" s="14"/>
      <x:c r="E285" s="14"/>
      <x:c r="F285" s="14"/>
      <x:c r="G285" s="14"/>
      <x:c r="H285" s="14"/>
      <x:c r="I285" s="14"/>
      <x:c r="J285" s="14"/>
      <x:c r="K285" s="14"/>
      <x:c r="L285" s="14"/>
      <x:c r="M285" s="14"/>
      <x:c r="N285" s="14"/>
      <x:c r="O285" s="14"/>
      <x:c r="P285" s="14"/>
      <x:c r="Q285" s="14"/>
      <x:c r="R285" s="14"/>
      <x:c r="S285" s="14"/>
      <x:c r="T285" s="14"/>
      <x:c r="U285" s="14"/>
      <x:c r="V285" s="14"/>
      <x:c r="W285" s="14"/>
      <x:c r="X285" s="14"/>
      <x:c r="Y285" s="14"/>
    </x:row>
    <x:row r="286">
      <x:c r="A286" s="14"/>
      <x:c r="B286" s="14"/>
      <x:c r="C286" s="14"/>
      <x:c r="D286" s="14"/>
      <x:c r="E286" s="14"/>
      <x:c r="F286" s="14"/>
      <x:c r="G286" s="14"/>
      <x:c r="H286" s="14"/>
      <x:c r="I286" s="14"/>
      <x:c r="J286" s="14"/>
      <x:c r="K286" s="14"/>
      <x:c r="L286" s="14"/>
      <x:c r="M286" s="14"/>
      <x:c r="N286" s="14"/>
      <x:c r="O286" s="14"/>
      <x:c r="P286" s="14"/>
      <x:c r="Q286" s="14"/>
      <x:c r="R286" s="14"/>
      <x:c r="S286" s="14"/>
      <x:c r="T286" s="14"/>
      <x:c r="U286" s="14"/>
      <x:c r="V286" s="14"/>
      <x:c r="W286" s="14"/>
      <x:c r="X286" s="14"/>
      <x:c r="Y286" s="14"/>
    </x:row>
    <x:row r="287">
      <x:c r="A287" s="14"/>
      <x:c r="B287" s="14"/>
      <x:c r="C287" s="14"/>
      <x:c r="D287" s="14"/>
      <x:c r="E287" s="14"/>
      <x:c r="F287" s="14"/>
      <x:c r="G287" s="14"/>
      <x:c r="H287" s="14"/>
      <x:c r="I287" s="14"/>
      <x:c r="J287" s="14"/>
      <x:c r="K287" s="14"/>
      <x:c r="L287" s="14"/>
      <x:c r="M287" s="14"/>
      <x:c r="N287" s="14"/>
      <x:c r="O287" s="14"/>
      <x:c r="P287" s="14"/>
      <x:c r="Q287" s="14"/>
      <x:c r="R287" s="14"/>
      <x:c r="S287" s="14"/>
      <x:c r="T287" s="14"/>
      <x:c r="U287" s="14"/>
      <x:c r="V287" s="14"/>
      <x:c r="W287" s="14"/>
      <x:c r="X287" s="14"/>
      <x:c r="Y287" s="14"/>
    </x:row>
    <x:row r="288">
      <x:c r="A288" s="14"/>
      <x:c r="B288" s="14"/>
      <x:c r="C288" s="14"/>
      <x:c r="D288" s="14"/>
      <x:c r="E288" s="14"/>
      <x:c r="F288" s="14"/>
      <x:c r="G288" s="14"/>
      <x:c r="H288" s="14"/>
      <x:c r="I288" s="14"/>
      <x:c r="J288" s="14"/>
      <x:c r="K288" s="14"/>
      <x:c r="L288" s="14"/>
      <x:c r="M288" s="14"/>
      <x:c r="N288" s="14"/>
      <x:c r="O288" s="14"/>
      <x:c r="P288" s="14"/>
      <x:c r="Q288" s="14"/>
      <x:c r="R288" s="14"/>
      <x:c r="S288" s="14"/>
      <x:c r="T288" s="14"/>
      <x:c r="U288" s="14"/>
      <x:c r="V288" s="14"/>
      <x:c r="W288" s="14"/>
      <x:c r="X288" s="14"/>
      <x:c r="Y288" s="14"/>
    </x:row>
    <x:row r="289">
      <x:c r="A289" s="14"/>
      <x:c r="B289" s="14"/>
      <x:c r="C289" s="14"/>
      <x:c r="D289" s="14"/>
      <x:c r="E289" s="14"/>
      <x:c r="F289" s="14"/>
      <x:c r="G289" s="14"/>
      <x:c r="H289" s="14"/>
      <x:c r="I289" s="14"/>
      <x:c r="J289" s="14"/>
      <x:c r="K289" s="14"/>
      <x:c r="L289" s="14"/>
      <x:c r="M289" s="14"/>
      <x:c r="N289" s="14"/>
      <x:c r="O289" s="14"/>
      <x:c r="P289" s="14"/>
      <x:c r="Q289" s="14"/>
      <x:c r="R289" s="14"/>
      <x:c r="S289" s="14"/>
      <x:c r="T289" s="14"/>
      <x:c r="U289" s="14"/>
      <x:c r="V289" s="14"/>
      <x:c r="W289" s="14"/>
      <x:c r="X289" s="14"/>
      <x:c r="Y289" s="14"/>
    </x:row>
    <x:row r="290">
      <x:c r="A290" s="14"/>
      <x:c r="B290" s="14"/>
      <x:c r="C290" s="14"/>
      <x:c r="D290" s="14"/>
      <x:c r="E290" s="14"/>
      <x:c r="F290" s="14"/>
      <x:c r="G290" s="14"/>
      <x:c r="H290" s="14"/>
      <x:c r="I290" s="14"/>
      <x:c r="J290" s="14"/>
      <x:c r="K290" s="14"/>
      <x:c r="L290" s="14"/>
      <x:c r="M290" s="14"/>
      <x:c r="N290" s="14"/>
      <x:c r="O290" s="14"/>
      <x:c r="P290" s="14"/>
      <x:c r="Q290" s="14"/>
      <x:c r="R290" s="14"/>
      <x:c r="S290" s="14"/>
      <x:c r="T290" s="14"/>
      <x:c r="U290" s="14"/>
      <x:c r="V290" s="14"/>
      <x:c r="W290" s="14"/>
      <x:c r="X290" s="14"/>
      <x:c r="Y290" s="14"/>
    </x:row>
    <x:row r="291">
      <x:c r="A291" s="14"/>
      <x:c r="B291" s="14"/>
      <x:c r="C291" s="14"/>
      <x:c r="D291" s="14"/>
      <x:c r="E291" s="14"/>
      <x:c r="F291" s="14"/>
      <x:c r="G291" s="14"/>
      <x:c r="H291" s="14"/>
      <x:c r="I291" s="14"/>
      <x:c r="J291" s="14"/>
      <x:c r="K291" s="14"/>
      <x:c r="L291" s="14"/>
      <x:c r="M291" s="14"/>
      <x:c r="N291" s="14"/>
      <x:c r="O291" s="14"/>
      <x:c r="P291" s="14"/>
      <x:c r="Q291" s="14"/>
      <x:c r="R291" s="14"/>
      <x:c r="S291" s="14"/>
      <x:c r="T291" s="14"/>
      <x:c r="U291" s="14"/>
      <x:c r="V291" s="14"/>
      <x:c r="W291" s="14"/>
      <x:c r="X291" s="14"/>
      <x:c r="Y291" s="14"/>
    </x:row>
    <x:row r="292">
      <x:c r="A292" s="14"/>
      <x:c r="B292" s="14"/>
      <x:c r="C292" s="14"/>
      <x:c r="D292" s="14"/>
      <x:c r="E292" s="14"/>
      <x:c r="F292" s="14"/>
      <x:c r="G292" s="14"/>
      <x:c r="H292" s="14"/>
      <x:c r="I292" s="14"/>
      <x:c r="J292" s="14"/>
      <x:c r="K292" s="14"/>
      <x:c r="L292" s="14"/>
      <x:c r="M292" s="14"/>
      <x:c r="N292" s="14"/>
      <x:c r="O292" s="14"/>
      <x:c r="P292" s="14"/>
      <x:c r="Q292" s="14"/>
      <x:c r="R292" s="14"/>
      <x:c r="S292" s="14"/>
      <x:c r="T292" s="14"/>
      <x:c r="U292" s="14"/>
      <x:c r="V292" s="14"/>
      <x:c r="W292" s="14"/>
      <x:c r="X292" s="14"/>
      <x:c r="Y292" s="14"/>
    </x:row>
    <x:row r="293">
      <x:c r="A293" s="14"/>
      <x:c r="B293" s="14"/>
      <x:c r="C293" s="14"/>
      <x:c r="D293" s="14"/>
      <x:c r="E293" s="14"/>
      <x:c r="F293" s="14"/>
      <x:c r="G293" s="14"/>
      <x:c r="H293" s="14"/>
      <x:c r="I293" s="14"/>
      <x:c r="J293" s="14"/>
      <x:c r="K293" s="14"/>
      <x:c r="L293" s="14"/>
      <x:c r="M293" s="14"/>
      <x:c r="N293" s="14"/>
      <x:c r="O293" s="14"/>
      <x:c r="P293" s="14"/>
      <x:c r="Q293" s="14"/>
      <x:c r="R293" s="14"/>
      <x:c r="S293" s="14"/>
      <x:c r="T293" s="14"/>
      <x:c r="U293" s="14"/>
      <x:c r="V293" s="14"/>
      <x:c r="W293" s="14"/>
      <x:c r="X293" s="14"/>
      <x:c r="Y293" s="14"/>
    </x:row>
    <x:row r="294">
      <x:c r="A294" s="14"/>
      <x:c r="B294" s="14"/>
      <x:c r="C294" s="14"/>
      <x:c r="D294" s="14"/>
      <x:c r="E294" s="14"/>
      <x:c r="F294" s="14"/>
      <x:c r="G294" s="14"/>
      <x:c r="H294" s="14"/>
      <x:c r="I294" s="14"/>
      <x:c r="J294" s="14"/>
      <x:c r="K294" s="14"/>
      <x:c r="L294" s="14"/>
      <x:c r="M294" s="14"/>
      <x:c r="N294" s="14"/>
      <x:c r="O294" s="14"/>
      <x:c r="P294" s="14"/>
      <x:c r="Q294" s="14"/>
      <x:c r="R294" s="14"/>
      <x:c r="S294" s="14"/>
      <x:c r="T294" s="14"/>
      <x:c r="U294" s="14"/>
      <x:c r="V294" s="14"/>
      <x:c r="W294" s="14"/>
      <x:c r="X294" s="14"/>
      <x:c r="Y294" s="14"/>
    </x:row>
    <x:row r="295">
      <x:c r="A295" s="14"/>
      <x:c r="B295" s="14"/>
      <x:c r="C295" s="14"/>
      <x:c r="D295" s="14"/>
      <x:c r="E295" s="14"/>
      <x:c r="F295" s="14"/>
      <x:c r="G295" s="14"/>
      <x:c r="H295" s="14"/>
      <x:c r="I295" s="14"/>
      <x:c r="J295" s="14"/>
      <x:c r="K295" s="14"/>
      <x:c r="L295" s="14"/>
      <x:c r="M295" s="14"/>
      <x:c r="N295" s="14"/>
      <x:c r="O295" s="14"/>
      <x:c r="P295" s="14"/>
      <x:c r="Q295" s="14"/>
      <x:c r="R295" s="14"/>
      <x:c r="S295" s="14"/>
      <x:c r="T295" s="14"/>
      <x:c r="U295" s="14"/>
      <x:c r="V295" s="14"/>
      <x:c r="W295" s="14"/>
      <x:c r="X295" s="14"/>
      <x:c r="Y295" s="14"/>
    </x:row>
    <x:row r="296">
      <x:c r="A296" s="14"/>
      <x:c r="B296" s="14"/>
      <x:c r="C296" s="14"/>
      <x:c r="D296" s="14"/>
      <x:c r="E296" s="14"/>
      <x:c r="F296" s="14"/>
      <x:c r="G296" s="14"/>
      <x:c r="H296" s="14"/>
      <x:c r="I296" s="14"/>
      <x:c r="J296" s="14"/>
      <x:c r="K296" s="14"/>
      <x:c r="L296" s="14"/>
      <x:c r="M296" s="14"/>
      <x:c r="N296" s="14"/>
      <x:c r="O296" s="14"/>
      <x:c r="P296" s="14"/>
      <x:c r="Q296" s="14"/>
      <x:c r="R296" s="14"/>
      <x:c r="S296" s="14"/>
      <x:c r="T296" s="14"/>
      <x:c r="U296" s="14"/>
      <x:c r="V296" s="14"/>
      <x:c r="W296" s="14"/>
      <x:c r="X296" s="14"/>
      <x:c r="Y296" s="14"/>
    </x:row>
    <x:row r="297">
      <x:c r="A297" s="14"/>
      <x:c r="B297" s="14"/>
      <x:c r="C297" s="14"/>
      <x:c r="D297" s="14"/>
      <x:c r="E297" s="14"/>
      <x:c r="F297" s="14"/>
      <x:c r="G297" s="14"/>
      <x:c r="H297" s="14"/>
      <x:c r="I297" s="14"/>
      <x:c r="J297" s="14"/>
      <x:c r="K297" s="14"/>
      <x:c r="L297" s="14"/>
      <x:c r="M297" s="14"/>
      <x:c r="N297" s="14"/>
      <x:c r="O297" s="14"/>
      <x:c r="P297" s="14"/>
      <x:c r="Q297" s="14"/>
      <x:c r="R297" s="14"/>
      <x:c r="S297" s="14"/>
      <x:c r="T297" s="14"/>
      <x:c r="U297" s="14"/>
      <x:c r="V297" s="14"/>
      <x:c r="W297" s="14"/>
      <x:c r="X297" s="14"/>
      <x:c r="Y297" s="14"/>
    </x:row>
    <x:row r="298">
      <x:c r="A298" s="14"/>
      <x:c r="B298" s="14"/>
      <x:c r="C298" s="14"/>
      <x:c r="D298" s="14"/>
      <x:c r="E298" s="14"/>
      <x:c r="F298" s="14"/>
      <x:c r="G298" s="14"/>
      <x:c r="H298" s="14"/>
      <x:c r="I298" s="14"/>
      <x:c r="J298" s="14"/>
      <x:c r="K298" s="14"/>
      <x:c r="L298" s="14"/>
      <x:c r="M298" s="14"/>
      <x:c r="N298" s="14"/>
      <x:c r="O298" s="14"/>
      <x:c r="P298" s="14"/>
      <x:c r="Q298" s="14"/>
      <x:c r="R298" s="14"/>
      <x:c r="S298" s="14"/>
      <x:c r="T298" s="14"/>
      <x:c r="U298" s="14"/>
      <x:c r="V298" s="14"/>
      <x:c r="W298" s="14"/>
      <x:c r="X298" s="14"/>
      <x:c r="Y298" s="14"/>
    </x:row>
    <x:row r="299">
      <x:c r="A299" s="14"/>
      <x:c r="B299" s="14"/>
      <x:c r="C299" s="14"/>
      <x:c r="D299" s="14"/>
      <x:c r="E299" s="14"/>
      <x:c r="F299" s="14"/>
      <x:c r="G299" s="14"/>
      <x:c r="H299" s="14"/>
      <x:c r="I299" s="14"/>
      <x:c r="J299" s="14"/>
      <x:c r="K299" s="14"/>
      <x:c r="L299" s="14"/>
      <x:c r="M299" s="14"/>
      <x:c r="N299" s="14"/>
      <x:c r="O299" s="14"/>
      <x:c r="P299" s="14"/>
      <x:c r="Q299" s="14"/>
      <x:c r="R299" s="14"/>
      <x:c r="S299" s="14"/>
      <x:c r="T299" s="14"/>
      <x:c r="U299" s="14"/>
      <x:c r="V299" s="14"/>
      <x:c r="W299" s="14"/>
      <x:c r="X299" s="14"/>
      <x:c r="Y299" s="14"/>
    </x:row>
    <x:row r="300">
      <x:c r="A300" s="14"/>
      <x:c r="B300" s="14"/>
      <x:c r="C300" s="14"/>
      <x:c r="D300" s="14"/>
      <x:c r="E300" s="14"/>
      <x:c r="F300" s="14"/>
      <x:c r="G300" s="14"/>
      <x:c r="H300" s="14"/>
      <x:c r="I300" s="14"/>
      <x:c r="J300" s="14"/>
      <x:c r="K300" s="14"/>
      <x:c r="L300" s="14"/>
      <x:c r="M300" s="14"/>
      <x:c r="N300" s="14"/>
      <x:c r="O300" s="14"/>
      <x:c r="P300" s="14"/>
      <x:c r="Q300" s="14"/>
      <x:c r="R300" s="14"/>
      <x:c r="S300" s="14"/>
      <x:c r="T300" s="14"/>
      <x:c r="U300" s="14"/>
      <x:c r="V300" s="14"/>
      <x:c r="W300" s="14"/>
      <x:c r="X300" s="14"/>
      <x:c r="Y300" s="14"/>
    </x:row>
    <x:row r="301">
      <x:c r="A301" s="14"/>
      <x:c r="B301" s="14"/>
      <x:c r="C301" s="14"/>
      <x:c r="D301" s="14"/>
      <x:c r="E301" s="14"/>
      <x:c r="F301" s="14"/>
      <x:c r="G301" s="14"/>
      <x:c r="H301" s="14"/>
      <x:c r="I301" s="14"/>
      <x:c r="J301" s="14"/>
      <x:c r="K301" s="14"/>
      <x:c r="L301" s="14"/>
      <x:c r="M301" s="14"/>
      <x:c r="N301" s="14"/>
      <x:c r="O301" s="14"/>
      <x:c r="P301" s="14"/>
      <x:c r="Q301" s="14"/>
      <x:c r="R301" s="14"/>
      <x:c r="S301" s="14"/>
      <x:c r="T301" s="14"/>
      <x:c r="U301" s="14"/>
      <x:c r="V301" s="14"/>
      <x:c r="W301" s="14"/>
      <x:c r="X301" s="14"/>
      <x:c r="Y301" s="14"/>
    </x:row>
    <x:row r="302">
      <x:c r="A302" s="14"/>
      <x:c r="B302" s="14"/>
      <x:c r="C302" s="14"/>
      <x:c r="D302" s="14"/>
      <x:c r="E302" s="14"/>
      <x:c r="F302" s="14"/>
      <x:c r="G302" s="14"/>
      <x:c r="H302" s="14"/>
      <x:c r="I302" s="14"/>
      <x:c r="J302" s="14"/>
      <x:c r="K302" s="14"/>
      <x:c r="L302" s="14"/>
      <x:c r="M302" s="14"/>
      <x:c r="N302" s="14"/>
      <x:c r="O302" s="14"/>
      <x:c r="P302" s="14"/>
      <x:c r="Q302" s="14"/>
      <x:c r="R302" s="14"/>
      <x:c r="S302" s="14"/>
      <x:c r="T302" s="14"/>
      <x:c r="U302" s="14"/>
      <x:c r="V302" s="14"/>
      <x:c r="W302" s="14"/>
      <x:c r="X302" s="14"/>
      <x:c r="Y302" s="14"/>
    </x:row>
    <x:row r="303">
      <x:c r="A303" s="14"/>
      <x:c r="B303" s="14"/>
      <x:c r="C303" s="14"/>
      <x:c r="D303" s="14"/>
      <x:c r="E303" s="14"/>
      <x:c r="F303" s="14"/>
      <x:c r="G303" s="14"/>
      <x:c r="H303" s="14"/>
      <x:c r="I303" s="14"/>
      <x:c r="J303" s="14"/>
      <x:c r="K303" s="14"/>
      <x:c r="L303" s="14"/>
      <x:c r="M303" s="14"/>
      <x:c r="N303" s="14"/>
      <x:c r="O303" s="14"/>
      <x:c r="P303" s="14"/>
      <x:c r="Q303" s="14"/>
      <x:c r="R303" s="14"/>
      <x:c r="S303" s="14"/>
      <x:c r="T303" s="14"/>
      <x:c r="U303" s="14"/>
      <x:c r="V303" s="14"/>
      <x:c r="W303" s="14"/>
      <x:c r="X303" s="14"/>
      <x:c r="Y303" s="14"/>
    </x:row>
    <x:row r="304">
      <x:c r="A304" s="14"/>
      <x:c r="B304" s="14"/>
      <x:c r="C304" s="14"/>
      <x:c r="D304" s="14"/>
      <x:c r="E304" s="14"/>
      <x:c r="F304" s="14"/>
      <x:c r="G304" s="14"/>
      <x:c r="H304" s="14"/>
      <x:c r="I304" s="14"/>
      <x:c r="J304" s="14"/>
      <x:c r="K304" s="14"/>
      <x:c r="L304" s="14"/>
      <x:c r="M304" s="14"/>
      <x:c r="N304" s="14"/>
      <x:c r="O304" s="14"/>
      <x:c r="P304" s="14"/>
      <x:c r="Q304" s="14"/>
      <x:c r="R304" s="14"/>
      <x:c r="S304" s="14"/>
      <x:c r="T304" s="14"/>
      <x:c r="U304" s="14"/>
      <x:c r="V304" s="14"/>
      <x:c r="W304" s="14"/>
      <x:c r="X304" s="14"/>
      <x:c r="Y304" s="14"/>
    </x:row>
    <x:row r="305">
      <x:c r="A305" s="14"/>
      <x:c r="B305" s="14"/>
      <x:c r="C305" s="14"/>
      <x:c r="D305" s="14"/>
      <x:c r="E305" s="14"/>
      <x:c r="F305" s="14"/>
      <x:c r="G305" s="14"/>
      <x:c r="H305" s="14"/>
      <x:c r="I305" s="14"/>
      <x:c r="J305" s="14"/>
      <x:c r="K305" s="14"/>
      <x:c r="L305" s="14"/>
      <x:c r="M305" s="14"/>
      <x:c r="N305" s="14"/>
      <x:c r="O305" s="14"/>
      <x:c r="P305" s="14"/>
      <x:c r="Q305" s="14"/>
      <x:c r="R305" s="14"/>
      <x:c r="S305" s="14"/>
      <x:c r="T305" s="14"/>
      <x:c r="U305" s="14"/>
      <x:c r="V305" s="14"/>
      <x:c r="W305" s="14"/>
      <x:c r="X305" s="14"/>
      <x:c r="Y305" s="14"/>
    </x:row>
    <x:row r="306">
      <x:c r="A306" s="14"/>
      <x:c r="B306" s="14"/>
      <x:c r="C306" s="14"/>
      <x:c r="D306" s="14"/>
      <x:c r="E306" s="14"/>
      <x:c r="F306" s="14"/>
      <x:c r="G306" s="14"/>
      <x:c r="H306" s="14"/>
      <x:c r="I306" s="14"/>
      <x:c r="J306" s="14"/>
      <x:c r="K306" s="14"/>
      <x:c r="L306" s="14"/>
      <x:c r="M306" s="14"/>
      <x:c r="N306" s="14"/>
      <x:c r="O306" s="14"/>
      <x:c r="P306" s="14"/>
      <x:c r="Q306" s="14"/>
      <x:c r="R306" s="14"/>
      <x:c r="S306" s="14"/>
      <x:c r="T306" s="14"/>
      <x:c r="U306" s="14"/>
      <x:c r="V306" s="14"/>
      <x:c r="W306" s="14"/>
      <x:c r="X306" s="14"/>
      <x:c r="Y306" s="14"/>
    </x:row>
    <x:row r="307">
      <x:c r="A307" s="14"/>
      <x:c r="B307" s="14"/>
      <x:c r="C307" s="14"/>
      <x:c r="D307" s="14"/>
      <x:c r="E307" s="14"/>
      <x:c r="F307" s="14"/>
      <x:c r="G307" s="14"/>
      <x:c r="H307" s="14"/>
      <x:c r="I307" s="14"/>
      <x:c r="J307" s="14"/>
      <x:c r="K307" s="14"/>
      <x:c r="L307" s="14"/>
      <x:c r="M307" s="14"/>
      <x:c r="N307" s="14"/>
      <x:c r="O307" s="14"/>
      <x:c r="P307" s="14"/>
      <x:c r="Q307" s="14"/>
      <x:c r="R307" s="14"/>
      <x:c r="S307" s="14"/>
      <x:c r="T307" s="14"/>
      <x:c r="U307" s="14"/>
      <x:c r="V307" s="14"/>
      <x:c r="W307" s="14"/>
      <x:c r="X307" s="14"/>
      <x:c r="Y307" s="14"/>
    </x:row>
    <x:row r="308">
      <x:c r="A308" s="14"/>
      <x:c r="B308" s="14"/>
      <x:c r="C308" s="14"/>
      <x:c r="D308" s="14"/>
      <x:c r="E308" s="14"/>
      <x:c r="F308" s="14"/>
      <x:c r="G308" s="14"/>
      <x:c r="H308" s="14"/>
      <x:c r="I308" s="14"/>
      <x:c r="J308" s="14"/>
      <x:c r="K308" s="14"/>
      <x:c r="L308" s="14"/>
      <x:c r="M308" s="14"/>
      <x:c r="N308" s="14"/>
      <x:c r="O308" s="14"/>
      <x:c r="P308" s="14"/>
      <x:c r="Q308" s="14"/>
      <x:c r="R308" s="14"/>
      <x:c r="S308" s="14"/>
      <x:c r="T308" s="14"/>
      <x:c r="U308" s="14"/>
      <x:c r="V308" s="14"/>
      <x:c r="W308" s="14"/>
      <x:c r="X308" s="14"/>
      <x:c r="Y308" s="14"/>
    </x:row>
    <x:row r="309">
      <x:c r="A309" s="14"/>
      <x:c r="B309" s="14"/>
      <x:c r="C309" s="14"/>
      <x:c r="D309" s="14"/>
      <x:c r="E309" s="14"/>
      <x:c r="F309" s="14"/>
      <x:c r="G309" s="14"/>
      <x:c r="H309" s="14"/>
      <x:c r="I309" s="14"/>
      <x:c r="J309" s="14"/>
      <x:c r="K309" s="14"/>
      <x:c r="L309" s="14"/>
      <x:c r="M309" s="14"/>
      <x:c r="N309" s="14"/>
      <x:c r="O309" s="14"/>
      <x:c r="P309" s="14"/>
      <x:c r="Q309" s="14"/>
      <x:c r="R309" s="14"/>
      <x:c r="S309" s="14"/>
      <x:c r="T309" s="14"/>
      <x:c r="U309" s="14"/>
      <x:c r="V309" s="14"/>
      <x:c r="W309" s="14"/>
      <x:c r="X309" s="14"/>
      <x:c r="Y309" s="14"/>
    </x:row>
    <x:row r="310">
      <x:c r="A310" s="14"/>
      <x:c r="B310" s="14"/>
      <x:c r="C310" s="14"/>
      <x:c r="D310" s="14"/>
      <x:c r="E310" s="14"/>
      <x:c r="F310" s="14"/>
      <x:c r="G310" s="14"/>
      <x:c r="H310" s="14"/>
      <x:c r="I310" s="14"/>
      <x:c r="J310" s="14"/>
      <x:c r="K310" s="14"/>
      <x:c r="L310" s="14"/>
      <x:c r="M310" s="14"/>
      <x:c r="N310" s="14"/>
      <x:c r="O310" s="14"/>
      <x:c r="P310" s="14"/>
      <x:c r="Q310" s="14"/>
      <x:c r="R310" s="14"/>
      <x:c r="S310" s="14"/>
      <x:c r="T310" s="14"/>
      <x:c r="U310" s="14"/>
      <x:c r="V310" s="14"/>
      <x:c r="W310" s="14"/>
      <x:c r="X310" s="14"/>
      <x:c r="Y310" s="14"/>
    </x:row>
    <x:row r="311">
      <x:c r="A311" s="14"/>
      <x:c r="B311" s="14"/>
      <x:c r="C311" s="14"/>
      <x:c r="D311" s="14"/>
      <x:c r="E311" s="14"/>
      <x:c r="F311" s="14"/>
      <x:c r="G311" s="14"/>
      <x:c r="H311" s="14"/>
      <x:c r="I311" s="14"/>
      <x:c r="J311" s="14"/>
      <x:c r="K311" s="14"/>
      <x:c r="L311" s="14"/>
      <x:c r="M311" s="14"/>
      <x:c r="N311" s="14"/>
      <x:c r="O311" s="14"/>
      <x:c r="P311" s="14"/>
      <x:c r="Q311" s="14"/>
      <x:c r="R311" s="14"/>
      <x:c r="S311" s="14"/>
      <x:c r="T311" s="14"/>
      <x:c r="U311" s="14"/>
      <x:c r="V311" s="14"/>
      <x:c r="W311" s="14"/>
      <x:c r="X311" s="14"/>
      <x:c r="Y311" s="14"/>
    </x:row>
    <x:row r="312">
      <x:c r="A312" s="14"/>
      <x:c r="B312" s="14"/>
      <x:c r="C312" s="14"/>
      <x:c r="D312" s="14"/>
      <x:c r="E312" s="14"/>
      <x:c r="F312" s="14"/>
      <x:c r="G312" s="14"/>
      <x:c r="H312" s="14"/>
      <x:c r="I312" s="14"/>
      <x:c r="J312" s="14"/>
      <x:c r="K312" s="14"/>
      <x:c r="L312" s="14"/>
      <x:c r="M312" s="14"/>
      <x:c r="N312" s="14"/>
      <x:c r="O312" s="14"/>
      <x:c r="P312" s="14"/>
      <x:c r="Q312" s="14"/>
      <x:c r="R312" s="14"/>
      <x:c r="S312" s="14"/>
      <x:c r="T312" s="14"/>
      <x:c r="U312" s="14"/>
      <x:c r="V312" s="14"/>
      <x:c r="W312" s="14"/>
      <x:c r="X312" s="14"/>
      <x:c r="Y312" s="14"/>
    </x:row>
    <x:row r="313">
      <x:c r="A313" s="14"/>
      <x:c r="B313" s="14"/>
      <x:c r="C313" s="14"/>
      <x:c r="D313" s="14"/>
      <x:c r="E313" s="14"/>
      <x:c r="F313" s="14"/>
      <x:c r="G313" s="14"/>
      <x:c r="H313" s="14"/>
      <x:c r="I313" s="14"/>
      <x:c r="J313" s="14"/>
      <x:c r="K313" s="14"/>
      <x:c r="L313" s="14"/>
      <x:c r="M313" s="14"/>
      <x:c r="N313" s="14"/>
      <x:c r="O313" s="14"/>
      <x:c r="P313" s="14"/>
      <x:c r="Q313" s="14"/>
      <x:c r="R313" s="14"/>
      <x:c r="S313" s="14"/>
      <x:c r="T313" s="14"/>
      <x:c r="U313" s="14"/>
      <x:c r="V313" s="14"/>
      <x:c r="W313" s="14"/>
      <x:c r="X313" s="14"/>
      <x:c r="Y313" s="14"/>
    </x:row>
    <x:row r="314">
      <x:c r="A314" s="14"/>
      <x:c r="B314" s="14"/>
      <x:c r="C314" s="14"/>
      <x:c r="D314" s="14"/>
      <x:c r="E314" s="14"/>
      <x:c r="F314" s="14"/>
      <x:c r="G314" s="14"/>
      <x:c r="H314" s="14"/>
      <x:c r="I314" s="14"/>
      <x:c r="J314" s="14"/>
      <x:c r="K314" s="14"/>
      <x:c r="L314" s="14"/>
      <x:c r="M314" s="14"/>
      <x:c r="N314" s="14"/>
      <x:c r="O314" s="14"/>
      <x:c r="P314" s="14"/>
      <x:c r="Q314" s="14"/>
      <x:c r="R314" s="14"/>
      <x:c r="S314" s="14"/>
      <x:c r="T314" s="14"/>
      <x:c r="U314" s="14"/>
      <x:c r="V314" s="14"/>
      <x:c r="W314" s="14"/>
      <x:c r="X314" s="14"/>
      <x:c r="Y314" s="14"/>
    </x:row>
    <x:row r="315">
      <x:c r="A315" s="14"/>
      <x:c r="B315" s="14"/>
      <x:c r="C315" s="14"/>
      <x:c r="D315" s="14"/>
      <x:c r="E315" s="14"/>
      <x:c r="F315" s="14"/>
      <x:c r="G315" s="14"/>
      <x:c r="H315" s="14"/>
      <x:c r="I315" s="14"/>
      <x:c r="J315" s="14"/>
      <x:c r="K315" s="14"/>
      <x:c r="L315" s="14"/>
      <x:c r="M315" s="14"/>
      <x:c r="N315" s="14"/>
      <x:c r="O315" s="14"/>
      <x:c r="P315" s="14"/>
      <x:c r="Q315" s="14"/>
      <x:c r="R315" s="14"/>
      <x:c r="S315" s="14"/>
      <x:c r="T315" s="14"/>
      <x:c r="U315" s="14"/>
      <x:c r="V315" s="14"/>
      <x:c r="W315" s="14"/>
      <x:c r="X315" s="14"/>
      <x:c r="Y315" s="14"/>
    </x:row>
    <x:row r="316">
      <x:c r="A316" s="14"/>
      <x:c r="B316" s="14"/>
      <x:c r="C316" s="14"/>
      <x:c r="D316" s="14"/>
      <x:c r="E316" s="14"/>
      <x:c r="F316" s="14"/>
      <x:c r="G316" s="14"/>
      <x:c r="H316" s="14"/>
      <x:c r="I316" s="14"/>
      <x:c r="J316" s="14"/>
      <x:c r="K316" s="14"/>
      <x:c r="L316" s="14"/>
      <x:c r="M316" s="14"/>
      <x:c r="N316" s="14"/>
      <x:c r="O316" s="14"/>
      <x:c r="P316" s="14"/>
      <x:c r="Q316" s="14"/>
      <x:c r="R316" s="14"/>
      <x:c r="S316" s="14"/>
      <x:c r="T316" s="14"/>
      <x:c r="U316" s="14"/>
      <x:c r="V316" s="14"/>
      <x:c r="W316" s="14"/>
      <x:c r="X316" s="14"/>
      <x:c r="Y316" s="14"/>
    </x:row>
    <x:row r="317">
      <x:c r="A317" s="14"/>
      <x:c r="B317" s="14"/>
      <x:c r="C317" s="14"/>
      <x:c r="D317" s="14"/>
      <x:c r="E317" s="14"/>
      <x:c r="F317" s="14"/>
      <x:c r="G317" s="14"/>
      <x:c r="H317" s="14"/>
      <x:c r="I317" s="14"/>
      <x:c r="J317" s="14"/>
      <x:c r="K317" s="14"/>
      <x:c r="L317" s="14"/>
      <x:c r="M317" s="14"/>
      <x:c r="N317" s="14"/>
      <x:c r="O317" s="14"/>
      <x:c r="P317" s="14"/>
      <x:c r="Q317" s="14"/>
      <x:c r="R317" s="14"/>
      <x:c r="S317" s="14"/>
      <x:c r="T317" s="14"/>
      <x:c r="U317" s="14"/>
      <x:c r="V317" s="14"/>
      <x:c r="W317" s="14"/>
      <x:c r="X317" s="14"/>
      <x:c r="Y317" s="14"/>
    </x:row>
    <x:row r="318">
      <x:c r="A318" s="14"/>
      <x:c r="B318" s="14"/>
      <x:c r="C318" s="14"/>
      <x:c r="D318" s="14"/>
      <x:c r="E318" s="14"/>
      <x:c r="F318" s="14"/>
      <x:c r="G318" s="14"/>
      <x:c r="H318" s="14"/>
      <x:c r="I318" s="14"/>
      <x:c r="J318" s="14"/>
      <x:c r="K318" s="14"/>
      <x:c r="L318" s="14"/>
      <x:c r="M318" s="14"/>
      <x:c r="N318" s="14"/>
      <x:c r="O318" s="14"/>
      <x:c r="P318" s="14"/>
      <x:c r="Q318" s="14"/>
      <x:c r="R318" s="14"/>
      <x:c r="S318" s="14"/>
      <x:c r="T318" s="14"/>
      <x:c r="U318" s="14"/>
      <x:c r="V318" s="14"/>
      <x:c r="W318" s="14"/>
      <x:c r="X318" s="14"/>
      <x:c r="Y318" s="14"/>
    </x:row>
    <x:row r="319">
      <x:c r="A319" s="14"/>
      <x:c r="B319" s="14"/>
      <x:c r="C319" s="14"/>
      <x:c r="D319" s="14"/>
      <x:c r="E319" s="14"/>
      <x:c r="F319" s="14"/>
      <x:c r="G319" s="14"/>
      <x:c r="H319" s="14"/>
      <x:c r="I319" s="14"/>
      <x:c r="J319" s="14"/>
      <x:c r="K319" s="14"/>
      <x:c r="L319" s="14"/>
      <x:c r="M319" s="14"/>
      <x:c r="N319" s="14"/>
      <x:c r="O319" s="14"/>
      <x:c r="P319" s="14"/>
      <x:c r="Q319" s="14"/>
      <x:c r="R319" s="14"/>
      <x:c r="S319" s="14"/>
      <x:c r="T319" s="14"/>
      <x:c r="U319" s="14"/>
      <x:c r="V319" s="14"/>
      <x:c r="W319" s="14"/>
      <x:c r="X319" s="14"/>
      <x:c r="Y319" s="14"/>
    </x:row>
    <x:row r="320">
      <x:c r="A320" s="14"/>
      <x:c r="B320" s="14"/>
      <x:c r="C320" s="14"/>
      <x:c r="D320" s="14"/>
      <x:c r="E320" s="14"/>
      <x:c r="F320" s="14"/>
      <x:c r="G320" s="14"/>
      <x:c r="H320" s="14"/>
      <x:c r="I320" s="14"/>
      <x:c r="J320" s="14"/>
      <x:c r="K320" s="14"/>
      <x:c r="L320" s="14"/>
      <x:c r="M320" s="14"/>
      <x:c r="N320" s="14"/>
      <x:c r="O320" s="14"/>
      <x:c r="P320" s="14"/>
      <x:c r="Q320" s="14"/>
      <x:c r="R320" s="14"/>
      <x:c r="S320" s="14"/>
      <x:c r="T320" s="14"/>
      <x:c r="U320" s="14"/>
      <x:c r="V320" s="14"/>
      <x:c r="W320" s="14"/>
      <x:c r="X320" s="14"/>
      <x:c r="Y320" s="14"/>
    </x:row>
    <x:row r="321">
      <x:c r="A321" s="14"/>
      <x:c r="B321" s="14"/>
      <x:c r="C321" s="14"/>
      <x:c r="D321" s="14"/>
      <x:c r="E321" s="14"/>
      <x:c r="F321" s="14"/>
      <x:c r="G321" s="14"/>
      <x:c r="H321" s="14"/>
      <x:c r="I321" s="14"/>
      <x:c r="J321" s="14"/>
      <x:c r="K321" s="14"/>
      <x:c r="L321" s="14"/>
      <x:c r="M321" s="14"/>
      <x:c r="N321" s="14"/>
      <x:c r="O321" s="14"/>
      <x:c r="P321" s="14"/>
      <x:c r="Q321" s="14"/>
      <x:c r="R321" s="14"/>
      <x:c r="S321" s="14"/>
      <x:c r="T321" s="14"/>
      <x:c r="U321" s="14"/>
      <x:c r="V321" s="14"/>
      <x:c r="W321" s="14"/>
      <x:c r="X321" s="14"/>
      <x:c r="Y321" s="14"/>
    </x:row>
    <x:row r="322">
      <x:c r="A322" s="14"/>
      <x:c r="B322" s="14"/>
      <x:c r="C322" s="14"/>
      <x:c r="D322" s="14"/>
      <x:c r="E322" s="14"/>
      <x:c r="F322" s="14"/>
      <x:c r="G322" s="14"/>
      <x:c r="H322" s="14"/>
      <x:c r="I322" s="14"/>
      <x:c r="J322" s="14"/>
      <x:c r="K322" s="14"/>
      <x:c r="L322" s="14"/>
      <x:c r="M322" s="14"/>
      <x:c r="N322" s="14"/>
      <x:c r="O322" s="14"/>
      <x:c r="P322" s="14"/>
      <x:c r="Q322" s="14"/>
      <x:c r="R322" s="14"/>
      <x:c r="S322" s="14"/>
      <x:c r="T322" s="14"/>
      <x:c r="U322" s="14"/>
      <x:c r="V322" s="14"/>
      <x:c r="W322" s="14"/>
      <x:c r="X322" s="14"/>
      <x:c r="Y322" s="14"/>
    </x:row>
    <x:row r="323">
      <x:c r="A323" s="14"/>
      <x:c r="B323" s="14"/>
      <x:c r="C323" s="14"/>
      <x:c r="D323" s="14"/>
      <x:c r="E323" s="14"/>
      <x:c r="F323" s="14"/>
      <x:c r="G323" s="14"/>
      <x:c r="H323" s="14"/>
      <x:c r="I323" s="14"/>
      <x:c r="J323" s="14"/>
      <x:c r="K323" s="14"/>
      <x:c r="L323" s="14"/>
      <x:c r="M323" s="14"/>
      <x:c r="N323" s="14"/>
      <x:c r="O323" s="14"/>
      <x:c r="P323" s="14"/>
      <x:c r="Q323" s="14"/>
      <x:c r="R323" s="14"/>
      <x:c r="S323" s="14"/>
      <x:c r="T323" s="14"/>
      <x:c r="U323" s="14"/>
      <x:c r="V323" s="14"/>
      <x:c r="W323" s="14"/>
      <x:c r="X323" s="14"/>
      <x:c r="Y323" s="14"/>
    </x:row>
    <x:row r="324">
      <x:c r="A324" s="14"/>
      <x:c r="B324" s="14"/>
      <x:c r="C324" s="14"/>
      <x:c r="D324" s="14"/>
      <x:c r="E324" s="14"/>
      <x:c r="F324" s="14"/>
      <x:c r="G324" s="14"/>
      <x:c r="H324" s="14"/>
      <x:c r="I324" s="14"/>
      <x:c r="J324" s="14"/>
      <x:c r="K324" s="14"/>
      <x:c r="L324" s="14"/>
      <x:c r="M324" s="14"/>
      <x:c r="N324" s="14"/>
      <x:c r="O324" s="14"/>
      <x:c r="P324" s="14"/>
      <x:c r="Q324" s="14"/>
      <x:c r="R324" s="14"/>
      <x:c r="S324" s="14"/>
      <x:c r="T324" s="14"/>
      <x:c r="U324" s="14"/>
      <x:c r="V324" s="14"/>
      <x:c r="W324" s="14"/>
      <x:c r="X324" s="14"/>
      <x:c r="Y324" s="14"/>
    </x:row>
    <x:row r="325">
      <x:c r="A325" s="14"/>
      <x:c r="B325" s="14"/>
      <x:c r="C325" s="14"/>
      <x:c r="D325" s="14"/>
      <x:c r="E325" s="14"/>
      <x:c r="F325" s="14"/>
      <x:c r="G325" s="14"/>
      <x:c r="H325" s="14"/>
      <x:c r="I325" s="14"/>
      <x:c r="J325" s="14"/>
      <x:c r="K325" s="14"/>
      <x:c r="L325" s="14"/>
      <x:c r="M325" s="14"/>
      <x:c r="N325" s="14"/>
      <x:c r="O325" s="14"/>
      <x:c r="P325" s="14"/>
      <x:c r="Q325" s="14"/>
      <x:c r="R325" s="14"/>
      <x:c r="S325" s="14"/>
      <x:c r="T325" s="14"/>
      <x:c r="U325" s="14"/>
      <x:c r="V325" s="14"/>
      <x:c r="W325" s="14"/>
      <x:c r="X325" s="14"/>
      <x:c r="Y325" s="14"/>
    </x:row>
    <x:row r="326">
      <x:c r="A326" s="14"/>
      <x:c r="B326" s="14"/>
      <x:c r="C326" s="14"/>
      <x:c r="D326" s="14"/>
      <x:c r="E326" s="14"/>
      <x:c r="F326" s="14"/>
      <x:c r="G326" s="14"/>
      <x:c r="H326" s="14"/>
      <x:c r="I326" s="14"/>
      <x:c r="J326" s="14"/>
      <x:c r="K326" s="14"/>
      <x:c r="L326" s="14"/>
      <x:c r="M326" s="14"/>
      <x:c r="N326" s="14"/>
      <x:c r="O326" s="14"/>
      <x:c r="P326" s="14"/>
      <x:c r="Q326" s="14"/>
      <x:c r="R326" s="14"/>
      <x:c r="S326" s="14"/>
      <x:c r="T326" s="14"/>
      <x:c r="U326" s="14"/>
      <x:c r="V326" s="14"/>
      <x:c r="W326" s="14"/>
      <x:c r="X326" s="14"/>
      <x:c r="Y326" s="14"/>
    </x:row>
    <x:row r="327">
      <x:c r="A327" s="14"/>
      <x:c r="B327" s="14"/>
      <x:c r="C327" s="14"/>
      <x:c r="D327" s="14"/>
      <x:c r="E327" s="14"/>
      <x:c r="F327" s="14"/>
      <x:c r="G327" s="14"/>
      <x:c r="H327" s="14"/>
      <x:c r="I327" s="14"/>
      <x:c r="J327" s="14"/>
      <x:c r="K327" s="14"/>
      <x:c r="L327" s="14"/>
      <x:c r="M327" s="14"/>
      <x:c r="N327" s="14"/>
      <x:c r="O327" s="14"/>
      <x:c r="P327" s="14"/>
      <x:c r="Q327" s="14"/>
      <x:c r="R327" s="14"/>
      <x:c r="S327" s="14"/>
      <x:c r="T327" s="14"/>
      <x:c r="U327" s="14"/>
      <x:c r="V327" s="14"/>
      <x:c r="W327" s="14"/>
      <x:c r="X327" s="14"/>
      <x:c r="Y327" s="14"/>
    </x:row>
    <x:row r="328">
      <x:c r="A328" s="14"/>
      <x:c r="B328" s="14"/>
      <x:c r="C328" s="14"/>
      <x:c r="D328" s="14"/>
      <x:c r="E328" s="14"/>
      <x:c r="F328" s="14"/>
      <x:c r="G328" s="14"/>
      <x:c r="H328" s="14"/>
      <x:c r="I328" s="14"/>
      <x:c r="J328" s="14"/>
      <x:c r="K328" s="14"/>
      <x:c r="L328" s="14"/>
      <x:c r="M328" s="14"/>
      <x:c r="N328" s="14"/>
      <x:c r="O328" s="14"/>
      <x:c r="P328" s="14"/>
      <x:c r="Q328" s="14"/>
      <x:c r="R328" s="14"/>
      <x:c r="S328" s="14"/>
      <x:c r="T328" s="14"/>
      <x:c r="U328" s="14"/>
      <x:c r="V328" s="14"/>
      <x:c r="W328" s="14"/>
      <x:c r="X328" s="14"/>
      <x:c r="Y328" s="14"/>
    </x:row>
    <x:row r="329">
      <x:c r="A329" s="14"/>
      <x:c r="B329" s="14"/>
      <x:c r="C329" s="14"/>
      <x:c r="D329" s="14"/>
      <x:c r="E329" s="14"/>
      <x:c r="F329" s="14"/>
      <x:c r="G329" s="14"/>
      <x:c r="H329" s="14"/>
      <x:c r="I329" s="14"/>
      <x:c r="J329" s="14"/>
      <x:c r="K329" s="14"/>
      <x:c r="L329" s="14"/>
      <x:c r="M329" s="14"/>
      <x:c r="N329" s="14"/>
      <x:c r="O329" s="14"/>
      <x:c r="P329" s="14"/>
      <x:c r="Q329" s="14"/>
      <x:c r="R329" s="14"/>
      <x:c r="S329" s="14"/>
      <x:c r="T329" s="14"/>
      <x:c r="U329" s="14"/>
      <x:c r="V329" s="14"/>
      <x:c r="W329" s="14"/>
      <x:c r="X329" s="14"/>
      <x:c r="Y329" s="14"/>
    </x:row>
    <x:row r="330">
      <x:c r="A330" s="14"/>
      <x:c r="B330" s="14"/>
      <x:c r="C330" s="14"/>
      <x:c r="D330" s="14"/>
      <x:c r="E330" s="14"/>
      <x:c r="F330" s="14"/>
      <x:c r="G330" s="14"/>
      <x:c r="H330" s="14"/>
      <x:c r="I330" s="14"/>
      <x:c r="J330" s="14"/>
      <x:c r="K330" s="14"/>
      <x:c r="L330" s="14"/>
      <x:c r="M330" s="14"/>
      <x:c r="N330" s="14"/>
      <x:c r="O330" s="14"/>
      <x:c r="P330" s="14"/>
      <x:c r="Q330" s="14"/>
      <x:c r="R330" s="14"/>
      <x:c r="S330" s="14"/>
      <x:c r="T330" s="14"/>
      <x:c r="U330" s="14"/>
      <x:c r="V330" s="14"/>
      <x:c r="W330" s="14"/>
      <x:c r="X330" s="14"/>
      <x:c r="Y330" s="14"/>
    </x:row>
    <x:row r="331">
      <x:c r="A331" s="14"/>
      <x:c r="B331" s="14"/>
      <x:c r="C331" s="14"/>
      <x:c r="D331" s="14"/>
      <x:c r="E331" s="14"/>
      <x:c r="F331" s="14"/>
      <x:c r="G331" s="14"/>
      <x:c r="H331" s="14"/>
      <x:c r="I331" s="14"/>
      <x:c r="J331" s="14"/>
      <x:c r="K331" s="14"/>
      <x:c r="L331" s="14"/>
      <x:c r="M331" s="14"/>
      <x:c r="N331" s="14"/>
      <x:c r="O331" s="14"/>
      <x:c r="P331" s="14"/>
      <x:c r="Q331" s="14"/>
      <x:c r="R331" s="14"/>
      <x:c r="S331" s="14"/>
      <x:c r="T331" s="14"/>
      <x:c r="U331" s="14"/>
      <x:c r="V331" s="14"/>
      <x:c r="W331" s="14"/>
      <x:c r="X331" s="14"/>
      <x:c r="Y331" s="14"/>
    </x:row>
    <x:row r="332">
      <x:c r="A332" s="14"/>
      <x:c r="B332" s="14"/>
      <x:c r="C332" s="14"/>
      <x:c r="D332" s="14"/>
      <x:c r="E332" s="14"/>
      <x:c r="F332" s="14"/>
      <x:c r="G332" s="14"/>
      <x:c r="H332" s="14"/>
      <x:c r="I332" s="14"/>
      <x:c r="J332" s="14"/>
      <x:c r="K332" s="14"/>
      <x:c r="L332" s="14"/>
      <x:c r="M332" s="14"/>
      <x:c r="N332" s="14"/>
      <x:c r="O332" s="14"/>
      <x:c r="P332" s="14"/>
      <x:c r="Q332" s="14"/>
      <x:c r="R332" s="14"/>
      <x:c r="S332" s="14"/>
      <x:c r="T332" s="14"/>
      <x:c r="U332" s="14"/>
      <x:c r="V332" s="14"/>
      <x:c r="W332" s="14"/>
      <x:c r="X332" s="14"/>
      <x:c r="Y332" s="14"/>
    </x:row>
    <x:row r="333">
      <x:c r="A333" s="14"/>
      <x:c r="B333" s="14"/>
      <x:c r="C333" s="14"/>
      <x:c r="D333" s="14"/>
      <x:c r="E333" s="14"/>
      <x:c r="F333" s="14"/>
      <x:c r="G333" s="14"/>
      <x:c r="H333" s="14"/>
      <x:c r="I333" s="14"/>
      <x:c r="J333" s="14"/>
      <x:c r="K333" s="14"/>
      <x:c r="L333" s="14"/>
      <x:c r="M333" s="14"/>
      <x:c r="N333" s="14"/>
      <x:c r="O333" s="14"/>
      <x:c r="P333" s="14"/>
      <x:c r="Q333" s="14"/>
      <x:c r="R333" s="14"/>
      <x:c r="S333" s="14"/>
      <x:c r="T333" s="14"/>
      <x:c r="U333" s="14"/>
      <x:c r="V333" s="14"/>
      <x:c r="W333" s="14"/>
      <x:c r="X333" s="14"/>
      <x:c r="Y333" s="14"/>
    </x:row>
    <x:row r="334">
      <x:c r="A334" s="14"/>
      <x:c r="B334" s="14"/>
      <x:c r="C334" s="14"/>
      <x:c r="D334" s="14"/>
      <x:c r="E334" s="14"/>
      <x:c r="F334" s="14"/>
      <x:c r="G334" s="14"/>
      <x:c r="H334" s="14"/>
      <x:c r="I334" s="14"/>
      <x:c r="J334" s="14"/>
      <x:c r="K334" s="14"/>
      <x:c r="L334" s="14"/>
      <x:c r="M334" s="14"/>
      <x:c r="N334" s="14"/>
      <x:c r="O334" s="14"/>
      <x:c r="P334" s="14"/>
      <x:c r="Q334" s="14"/>
      <x:c r="R334" s="14"/>
      <x:c r="S334" s="14"/>
      <x:c r="T334" s="14"/>
      <x:c r="U334" s="14"/>
      <x:c r="V334" s="14"/>
      <x:c r="W334" s="14"/>
      <x:c r="X334" s="14"/>
      <x:c r="Y334" s="14"/>
    </x:row>
    <x:row r="335">
      <x:c r="A335" s="14"/>
      <x:c r="B335" s="14"/>
      <x:c r="C335" s="14"/>
      <x:c r="D335" s="14"/>
      <x:c r="E335" s="14"/>
      <x:c r="F335" s="14"/>
      <x:c r="G335" s="14"/>
      <x:c r="H335" s="14"/>
      <x:c r="I335" s="14"/>
      <x:c r="J335" s="14"/>
      <x:c r="K335" s="14"/>
      <x:c r="L335" s="14"/>
      <x:c r="M335" s="14"/>
      <x:c r="N335" s="14"/>
      <x:c r="O335" s="14"/>
      <x:c r="P335" s="14"/>
      <x:c r="Q335" s="14"/>
      <x:c r="R335" s="14"/>
      <x:c r="S335" s="14"/>
      <x:c r="T335" s="14"/>
      <x:c r="U335" s="14"/>
      <x:c r="V335" s="14"/>
      <x:c r="W335" s="14"/>
      <x:c r="X335" s="14"/>
      <x:c r="Y335" s="14"/>
    </x:row>
    <x:row r="336">
      <x:c r="A336" s="14"/>
      <x:c r="B336" s="14"/>
      <x:c r="C336" s="14"/>
      <x:c r="D336" s="14"/>
      <x:c r="E336" s="14"/>
      <x:c r="F336" s="14"/>
      <x:c r="G336" s="14"/>
      <x:c r="H336" s="14"/>
      <x:c r="I336" s="14"/>
      <x:c r="J336" s="14"/>
      <x:c r="K336" s="14"/>
      <x:c r="L336" s="14"/>
      <x:c r="M336" s="14"/>
      <x:c r="N336" s="14"/>
      <x:c r="O336" s="14"/>
      <x:c r="P336" s="14"/>
      <x:c r="Q336" s="14"/>
      <x:c r="R336" s="14"/>
      <x:c r="S336" s="14"/>
      <x:c r="T336" s="14"/>
      <x:c r="U336" s="14"/>
      <x:c r="V336" s="14"/>
      <x:c r="W336" s="14"/>
      <x:c r="X336" s="14"/>
      <x:c r="Y336" s="14"/>
    </x:row>
    <x:row r="337">
      <x:c r="A337" s="14"/>
      <x:c r="B337" s="14"/>
      <x:c r="C337" s="14"/>
      <x:c r="D337" s="14"/>
      <x:c r="E337" s="14"/>
      <x:c r="F337" s="14"/>
      <x:c r="G337" s="14"/>
      <x:c r="H337" s="14"/>
      <x:c r="I337" s="14"/>
      <x:c r="J337" s="14"/>
      <x:c r="K337" s="14"/>
      <x:c r="L337" s="14"/>
      <x:c r="M337" s="14"/>
      <x:c r="N337" s="14"/>
      <x:c r="O337" s="14"/>
      <x:c r="P337" s="14"/>
      <x:c r="Q337" s="14"/>
      <x:c r="R337" s="14"/>
      <x:c r="S337" s="14"/>
      <x:c r="T337" s="14"/>
      <x:c r="U337" s="14"/>
      <x:c r="V337" s="14"/>
      <x:c r="W337" s="14"/>
      <x:c r="X337" s="14"/>
      <x:c r="Y337" s="14"/>
    </x:row>
    <x:row r="338">
      <x:c r="A338" s="14"/>
      <x:c r="B338" s="14"/>
      <x:c r="C338" s="14"/>
      <x:c r="D338" s="14"/>
      <x:c r="E338" s="14"/>
      <x:c r="F338" s="14"/>
      <x:c r="G338" s="14"/>
      <x:c r="H338" s="14"/>
      <x:c r="I338" s="14"/>
      <x:c r="J338" s="14"/>
      <x:c r="K338" s="14"/>
      <x:c r="L338" s="14"/>
      <x:c r="M338" s="14"/>
      <x:c r="N338" s="14"/>
      <x:c r="O338" s="14"/>
      <x:c r="P338" s="14"/>
      <x:c r="Q338" s="14"/>
      <x:c r="R338" s="14"/>
      <x:c r="S338" s="14"/>
      <x:c r="T338" s="14"/>
      <x:c r="U338" s="14"/>
      <x:c r="V338" s="14"/>
      <x:c r="W338" s="14"/>
      <x:c r="X338" s="14"/>
      <x:c r="Y338" s="14"/>
    </x:row>
    <x:row r="339">
      <x:c r="A339" s="14"/>
      <x:c r="B339" s="14"/>
      <x:c r="C339" s="14"/>
      <x:c r="D339" s="14"/>
      <x:c r="E339" s="14"/>
      <x:c r="F339" s="14"/>
      <x:c r="G339" s="14"/>
      <x:c r="H339" s="14"/>
      <x:c r="I339" s="14"/>
      <x:c r="J339" s="14"/>
      <x:c r="K339" s="14"/>
      <x:c r="L339" s="14"/>
      <x:c r="M339" s="14"/>
      <x:c r="N339" s="14"/>
      <x:c r="O339" s="14"/>
      <x:c r="P339" s="14"/>
      <x:c r="Q339" s="14"/>
      <x:c r="R339" s="14"/>
      <x:c r="S339" s="14"/>
      <x:c r="T339" s="14"/>
      <x:c r="U339" s="14"/>
      <x:c r="V339" s="14"/>
      <x:c r="W339" s="14"/>
      <x:c r="X339" s="14"/>
      <x:c r="Y339" s="14"/>
    </x:row>
    <x:row r="340">
      <x:c r="A340" s="14"/>
      <x:c r="B340" s="14"/>
      <x:c r="C340" s="14"/>
      <x:c r="D340" s="14"/>
      <x:c r="E340" s="14"/>
      <x:c r="F340" s="14"/>
      <x:c r="G340" s="14"/>
      <x:c r="H340" s="14"/>
      <x:c r="I340" s="14"/>
      <x:c r="J340" s="14"/>
      <x:c r="K340" s="14"/>
      <x:c r="L340" s="14"/>
      <x:c r="M340" s="14"/>
      <x:c r="N340" s="14"/>
      <x:c r="O340" s="14"/>
      <x:c r="P340" s="14"/>
      <x:c r="Q340" s="14"/>
      <x:c r="R340" s="14"/>
      <x:c r="S340" s="14"/>
      <x:c r="T340" s="14"/>
      <x:c r="U340" s="14"/>
      <x:c r="V340" s="14"/>
      <x:c r="W340" s="14"/>
      <x:c r="X340" s="14"/>
      <x:c r="Y340" s="14"/>
    </x:row>
    <x:row r="341">
      <x:c r="A341" s="14"/>
      <x:c r="B341" s="14"/>
      <x:c r="C341" s="14"/>
      <x:c r="D341" s="14"/>
      <x:c r="E341" s="14"/>
      <x:c r="F341" s="14"/>
      <x:c r="G341" s="14"/>
      <x:c r="H341" s="14"/>
      <x:c r="I341" s="14"/>
      <x:c r="J341" s="14"/>
      <x:c r="K341" s="14"/>
      <x:c r="L341" s="14"/>
      <x:c r="M341" s="14"/>
      <x:c r="N341" s="14"/>
      <x:c r="O341" s="14"/>
      <x:c r="P341" s="14"/>
      <x:c r="Q341" s="14"/>
      <x:c r="R341" s="14"/>
      <x:c r="S341" s="14"/>
      <x:c r="T341" s="14"/>
      <x:c r="U341" s="14"/>
      <x:c r="V341" s="14"/>
      <x:c r="W341" s="14"/>
      <x:c r="X341" s="14"/>
      <x:c r="Y341" s="14"/>
    </x:row>
    <x:row r="342">
      <x:c r="A342" s="14"/>
      <x:c r="B342" s="14"/>
      <x:c r="C342" s="14"/>
      <x:c r="D342" s="14"/>
      <x:c r="E342" s="14"/>
      <x:c r="F342" s="14"/>
      <x:c r="G342" s="14"/>
      <x:c r="H342" s="14"/>
      <x:c r="I342" s="14"/>
      <x:c r="J342" s="14"/>
      <x:c r="K342" s="14"/>
      <x:c r="L342" s="14"/>
      <x:c r="M342" s="14"/>
      <x:c r="N342" s="14"/>
      <x:c r="O342" s="14"/>
      <x:c r="P342" s="14"/>
      <x:c r="Q342" s="14"/>
      <x:c r="R342" s="14"/>
      <x:c r="S342" s="14"/>
      <x:c r="T342" s="14"/>
      <x:c r="U342" s="14"/>
      <x:c r="V342" s="14"/>
      <x:c r="W342" s="14"/>
      <x:c r="X342" s="14"/>
      <x:c r="Y342" s="14"/>
    </x:row>
    <x:row r="343">
      <x:c r="A343" s="14"/>
      <x:c r="B343" s="14"/>
      <x:c r="C343" s="14"/>
      <x:c r="D343" s="14"/>
      <x:c r="E343" s="14"/>
      <x:c r="F343" s="14"/>
      <x:c r="G343" s="14"/>
      <x:c r="H343" s="14"/>
      <x:c r="I343" s="14"/>
      <x:c r="J343" s="14"/>
      <x:c r="K343" s="14"/>
      <x:c r="L343" s="14"/>
      <x:c r="M343" s="14"/>
      <x:c r="N343" s="14"/>
      <x:c r="O343" s="14"/>
      <x:c r="P343" s="14"/>
      <x:c r="Q343" s="14"/>
      <x:c r="R343" s="14"/>
      <x:c r="S343" s="14"/>
      <x:c r="T343" s="14"/>
      <x:c r="U343" s="14"/>
      <x:c r="V343" s="14"/>
      <x:c r="W343" s="14"/>
      <x:c r="X343" s="14"/>
      <x:c r="Y343" s="14"/>
    </x:row>
    <x:row r="344">
      <x:c r="A344" s="14"/>
      <x:c r="B344" s="14"/>
      <x:c r="C344" s="14"/>
      <x:c r="D344" s="14"/>
      <x:c r="E344" s="14"/>
      <x:c r="F344" s="14"/>
      <x:c r="G344" s="14"/>
      <x:c r="H344" s="14"/>
      <x:c r="I344" s="14"/>
      <x:c r="J344" s="14"/>
      <x:c r="K344" s="14"/>
      <x:c r="L344" s="14"/>
      <x:c r="M344" s="14"/>
      <x:c r="N344" s="14"/>
      <x:c r="O344" s="14"/>
      <x:c r="P344" s="14"/>
      <x:c r="Q344" s="14"/>
      <x:c r="R344" s="14"/>
      <x:c r="S344" s="14"/>
      <x:c r="T344" s="14"/>
      <x:c r="U344" s="14"/>
      <x:c r="V344" s="14"/>
      <x:c r="W344" s="14"/>
      <x:c r="X344" s="14"/>
      <x:c r="Y344" s="14"/>
    </x:row>
    <x:row r="345">
      <x:c r="A345" s="14"/>
      <x:c r="B345" s="14"/>
      <x:c r="C345" s="14"/>
      <x:c r="D345" s="14"/>
      <x:c r="E345" s="14"/>
      <x:c r="F345" s="14"/>
      <x:c r="G345" s="14"/>
      <x:c r="H345" s="14"/>
      <x:c r="I345" s="14"/>
      <x:c r="J345" s="14"/>
      <x:c r="K345" s="14"/>
      <x:c r="L345" s="14"/>
      <x:c r="M345" s="14"/>
      <x:c r="N345" s="14"/>
      <x:c r="O345" s="14"/>
      <x:c r="P345" s="14"/>
      <x:c r="Q345" s="14"/>
      <x:c r="R345" s="14"/>
      <x:c r="S345" s="14"/>
      <x:c r="T345" s="14"/>
      <x:c r="U345" s="14"/>
      <x:c r="V345" s="14"/>
      <x:c r="W345" s="14"/>
      <x:c r="X345" s="14"/>
      <x:c r="Y345" s="14"/>
    </x:row>
    <x:row r="346">
      <x:c r="A346" s="14"/>
      <x:c r="B346" s="14"/>
      <x:c r="C346" s="14"/>
      <x:c r="D346" s="14"/>
      <x:c r="E346" s="14"/>
      <x:c r="F346" s="14"/>
      <x:c r="G346" s="14"/>
      <x:c r="H346" s="14"/>
      <x:c r="I346" s="14"/>
      <x:c r="J346" s="14"/>
      <x:c r="K346" s="14"/>
      <x:c r="L346" s="14"/>
      <x:c r="M346" s="14"/>
      <x:c r="N346" s="14"/>
      <x:c r="O346" s="14"/>
      <x:c r="P346" s="14"/>
      <x:c r="Q346" s="14"/>
      <x:c r="R346" s="14"/>
      <x:c r="S346" s="14"/>
      <x:c r="T346" s="14"/>
      <x:c r="U346" s="14"/>
      <x:c r="V346" s="14"/>
      <x:c r="W346" s="14"/>
      <x:c r="X346" s="14"/>
      <x:c r="Y346" s="14"/>
    </x:row>
    <x:row r="347">
      <x:c r="A347" s="14"/>
      <x:c r="B347" s="14"/>
      <x:c r="C347" s="14"/>
      <x:c r="D347" s="14"/>
      <x:c r="E347" s="14"/>
      <x:c r="F347" s="14"/>
      <x:c r="G347" s="14"/>
      <x:c r="H347" s="14"/>
      <x:c r="I347" s="14"/>
      <x:c r="J347" s="14"/>
      <x:c r="K347" s="14"/>
      <x:c r="L347" s="14"/>
      <x:c r="M347" s="14"/>
      <x:c r="N347" s="14"/>
      <x:c r="O347" s="14"/>
      <x:c r="P347" s="14"/>
      <x:c r="Q347" s="14"/>
      <x:c r="R347" s="14"/>
      <x:c r="S347" s="14"/>
      <x:c r="T347" s="14"/>
      <x:c r="U347" s="14"/>
      <x:c r="V347" s="14"/>
      <x:c r="W347" s="14"/>
      <x:c r="X347" s="14"/>
      <x:c r="Y347" s="14"/>
    </x:row>
    <x:row r="348">
      <x:c r="A348" s="14"/>
      <x:c r="B348" s="14"/>
      <x:c r="C348" s="14"/>
      <x:c r="D348" s="14"/>
      <x:c r="E348" s="14"/>
      <x:c r="F348" s="14"/>
      <x:c r="G348" s="14"/>
      <x:c r="H348" s="14"/>
      <x:c r="I348" s="14"/>
      <x:c r="J348" s="14"/>
      <x:c r="K348" s="14"/>
      <x:c r="L348" s="14"/>
      <x:c r="M348" s="14"/>
      <x:c r="N348" s="14"/>
      <x:c r="O348" s="14"/>
      <x:c r="P348" s="14"/>
      <x:c r="Q348" s="14"/>
      <x:c r="R348" s="14"/>
      <x:c r="S348" s="14"/>
      <x:c r="T348" s="14"/>
      <x:c r="U348" s="14"/>
      <x:c r="V348" s="14"/>
      <x:c r="W348" s="14"/>
      <x:c r="X348" s="14"/>
      <x:c r="Y348" s="14"/>
    </x:row>
    <x:row r="349">
      <x:c r="A349" s="14"/>
      <x:c r="B349" s="14"/>
      <x:c r="C349" s="14"/>
      <x:c r="D349" s="14"/>
      <x:c r="E349" s="14"/>
      <x:c r="F349" s="14"/>
      <x:c r="G349" s="14"/>
      <x:c r="H349" s="14"/>
      <x:c r="I349" s="14"/>
      <x:c r="J349" s="14"/>
      <x:c r="K349" s="14"/>
      <x:c r="L349" s="14"/>
      <x:c r="M349" s="14"/>
      <x:c r="N349" s="14"/>
      <x:c r="O349" s="14"/>
      <x:c r="P349" s="14"/>
      <x:c r="Q349" s="14"/>
      <x:c r="R349" s="14"/>
      <x:c r="S349" s="14"/>
      <x:c r="T349" s="14"/>
      <x:c r="U349" s="14"/>
      <x:c r="V349" s="14"/>
      <x:c r="W349" s="14"/>
      <x:c r="X349" s="14"/>
      <x:c r="Y349" s="14"/>
    </x:row>
    <x:row r="350">
      <x:c r="A350" s="14"/>
      <x:c r="B350" s="14"/>
      <x:c r="C350" s="14"/>
      <x:c r="D350" s="14"/>
      <x:c r="E350" s="14"/>
      <x:c r="F350" s="14"/>
      <x:c r="G350" s="14"/>
      <x:c r="H350" s="14"/>
      <x:c r="I350" s="14"/>
      <x:c r="J350" s="14"/>
      <x:c r="K350" s="14"/>
      <x:c r="L350" s="14"/>
      <x:c r="M350" s="14"/>
      <x:c r="N350" s="14"/>
      <x:c r="O350" s="14"/>
      <x:c r="P350" s="14"/>
      <x:c r="Q350" s="14"/>
      <x:c r="R350" s="14"/>
      <x:c r="S350" s="14"/>
      <x:c r="T350" s="14"/>
      <x:c r="U350" s="14"/>
      <x:c r="V350" s="14"/>
      <x:c r="W350" s="14"/>
      <x:c r="X350" s="14"/>
      <x:c r="Y350" s="14"/>
    </x:row>
    <x:row r="351">
      <x:c r="A351" s="14"/>
      <x:c r="B351" s="14"/>
      <x:c r="C351" s="14"/>
      <x:c r="D351" s="14"/>
      <x:c r="E351" s="14"/>
      <x:c r="F351" s="14"/>
      <x:c r="G351" s="14"/>
      <x:c r="H351" s="14"/>
      <x:c r="I351" s="14"/>
      <x:c r="J351" s="14"/>
      <x:c r="K351" s="14"/>
      <x:c r="L351" s="14"/>
      <x:c r="M351" s="14"/>
      <x:c r="N351" s="14"/>
      <x:c r="O351" s="14"/>
      <x:c r="P351" s="14"/>
      <x:c r="Q351" s="14"/>
      <x:c r="R351" s="14"/>
      <x:c r="S351" s="14"/>
      <x:c r="T351" s="14"/>
      <x:c r="U351" s="14"/>
      <x:c r="V351" s="14"/>
      <x:c r="W351" s="14"/>
      <x:c r="X351" s="14"/>
      <x:c r="Y351" s="14"/>
    </x:row>
    <x:row r="352">
      <x:c r="A352" s="14"/>
      <x:c r="B352" s="14"/>
      <x:c r="C352" s="14"/>
      <x:c r="D352" s="14"/>
      <x:c r="E352" s="14"/>
      <x:c r="F352" s="14"/>
      <x:c r="G352" s="14"/>
      <x:c r="H352" s="14"/>
      <x:c r="I352" s="14"/>
      <x:c r="J352" s="14"/>
      <x:c r="K352" s="14"/>
      <x:c r="L352" s="14"/>
      <x:c r="M352" s="14"/>
      <x:c r="N352" s="14"/>
      <x:c r="O352" s="14"/>
      <x:c r="P352" s="14"/>
      <x:c r="Q352" s="14"/>
      <x:c r="R352" s="14"/>
      <x:c r="S352" s="14"/>
      <x:c r="T352" s="14"/>
      <x:c r="U352" s="14"/>
      <x:c r="V352" s="14"/>
      <x:c r="W352" s="14"/>
      <x:c r="X352" s="14"/>
      <x:c r="Y352" s="14"/>
    </x:row>
    <x:row r="353">
      <x:c r="A353" s="14"/>
      <x:c r="B353" s="14"/>
      <x:c r="C353" s="14"/>
      <x:c r="D353" s="14"/>
      <x:c r="E353" s="14"/>
      <x:c r="F353" s="14"/>
      <x:c r="G353" s="14"/>
      <x:c r="H353" s="14"/>
      <x:c r="I353" s="14"/>
      <x:c r="J353" s="14"/>
      <x:c r="K353" s="14"/>
      <x:c r="L353" s="14"/>
      <x:c r="M353" s="14"/>
      <x:c r="N353" s="14"/>
      <x:c r="O353" s="14"/>
      <x:c r="P353" s="14"/>
      <x:c r="Q353" s="14"/>
      <x:c r="R353" s="14"/>
      <x:c r="S353" s="14"/>
      <x:c r="T353" s="14"/>
      <x:c r="U353" s="14"/>
      <x:c r="V353" s="14"/>
      <x:c r="W353" s="14"/>
      <x:c r="X353" s="14"/>
      <x:c r="Y353" s="14"/>
    </x:row>
    <x:row r="354">
      <x:c r="A354" s="14"/>
      <x:c r="B354" s="14"/>
      <x:c r="C354" s="14"/>
      <x:c r="D354" s="14"/>
      <x:c r="E354" s="14"/>
      <x:c r="F354" s="14"/>
      <x:c r="G354" s="14"/>
      <x:c r="H354" s="14"/>
      <x:c r="I354" s="14"/>
      <x:c r="J354" s="14"/>
      <x:c r="K354" s="14"/>
      <x:c r="L354" s="14"/>
      <x:c r="M354" s="14"/>
      <x:c r="N354" s="14"/>
      <x:c r="O354" s="14"/>
      <x:c r="P354" s="14"/>
      <x:c r="Q354" s="14"/>
      <x:c r="R354" s="14"/>
      <x:c r="S354" s="14"/>
      <x:c r="T354" s="14"/>
      <x:c r="U354" s="14"/>
      <x:c r="V354" s="14"/>
      <x:c r="W354" s="14"/>
      <x:c r="X354" s="14"/>
      <x:c r="Y354" s="14"/>
    </x:row>
    <x:row r="355">
      <x:c r="A355" s="14"/>
      <x:c r="B355" s="14"/>
      <x:c r="C355" s="14"/>
      <x:c r="D355" s="14"/>
      <x:c r="E355" s="14"/>
      <x:c r="F355" s="14"/>
      <x:c r="G355" s="14"/>
      <x:c r="H355" s="14"/>
      <x:c r="I355" s="14"/>
      <x:c r="J355" s="14"/>
      <x:c r="K355" s="14"/>
      <x:c r="L355" s="14"/>
      <x:c r="M355" s="14"/>
      <x:c r="N355" s="14"/>
      <x:c r="O355" s="14"/>
      <x:c r="P355" s="14"/>
      <x:c r="Q355" s="14"/>
      <x:c r="R355" s="14"/>
      <x:c r="S355" s="14"/>
      <x:c r="T355" s="14"/>
      <x:c r="U355" s="14"/>
      <x:c r="V355" s="14"/>
      <x:c r="W355" s="14"/>
      <x:c r="X355" s="14"/>
      <x:c r="Y355" s="14"/>
    </x:row>
    <x:row r="356">
      <x:c r="A356" s="14"/>
      <x:c r="B356" s="14"/>
      <x:c r="C356" s="14"/>
      <x:c r="D356" s="14"/>
      <x:c r="E356" s="14"/>
      <x:c r="F356" s="14"/>
      <x:c r="G356" s="14"/>
      <x:c r="H356" s="14"/>
      <x:c r="I356" s="14"/>
      <x:c r="J356" s="14"/>
      <x:c r="K356" s="14"/>
      <x:c r="L356" s="14"/>
      <x:c r="M356" s="14"/>
      <x:c r="N356" s="14"/>
      <x:c r="O356" s="14"/>
      <x:c r="P356" s="14"/>
      <x:c r="Q356" s="14"/>
      <x:c r="R356" s="14"/>
      <x:c r="S356" s="14"/>
      <x:c r="T356" s="14"/>
      <x:c r="U356" s="14"/>
      <x:c r="V356" s="14"/>
      <x:c r="W356" s="14"/>
      <x:c r="X356" s="14"/>
      <x:c r="Y356" s="14"/>
    </x:row>
    <x:row r="357">
      <x:c r="A357" s="14"/>
      <x:c r="B357" s="14"/>
      <x:c r="C357" s="14"/>
      <x:c r="D357" s="14"/>
      <x:c r="E357" s="14"/>
      <x:c r="F357" s="14"/>
      <x:c r="G357" s="14"/>
      <x:c r="H357" s="14"/>
      <x:c r="I357" s="14"/>
      <x:c r="J357" s="14"/>
      <x:c r="K357" s="14"/>
      <x:c r="L357" s="14"/>
      <x:c r="M357" s="14"/>
      <x:c r="N357" s="14"/>
      <x:c r="O357" s="14"/>
      <x:c r="P357" s="14"/>
      <x:c r="Q357" s="14"/>
      <x:c r="R357" s="14"/>
      <x:c r="S357" s="14"/>
      <x:c r="T357" s="14"/>
      <x:c r="U357" s="14"/>
      <x:c r="V357" s="14"/>
      <x:c r="W357" s="14"/>
      <x:c r="X357" s="14"/>
      <x:c r="Y357" s="14"/>
    </x:row>
    <x:row r="358">
      <x:c r="A358" s="14"/>
      <x:c r="B358" s="14"/>
      <x:c r="C358" s="14"/>
      <x:c r="D358" s="14"/>
      <x:c r="E358" s="14"/>
      <x:c r="F358" s="14"/>
      <x:c r="G358" s="14"/>
      <x:c r="H358" s="14"/>
      <x:c r="I358" s="14"/>
      <x:c r="J358" s="14"/>
      <x:c r="K358" s="14"/>
      <x:c r="L358" s="14"/>
      <x:c r="M358" s="14"/>
      <x:c r="N358" s="14"/>
      <x:c r="O358" s="14"/>
      <x:c r="P358" s="14"/>
      <x:c r="Q358" s="14"/>
      <x:c r="R358" s="14"/>
      <x:c r="S358" s="14"/>
      <x:c r="T358" s="14"/>
      <x:c r="U358" s="14"/>
      <x:c r="V358" s="14"/>
      <x:c r="W358" s="14"/>
      <x:c r="X358" s="14"/>
      <x:c r="Y358" s="14"/>
    </x:row>
    <x:row r="359">
      <x:c r="A359" s="14"/>
      <x:c r="B359" s="14"/>
      <x:c r="C359" s="14"/>
      <x:c r="D359" s="14"/>
      <x:c r="E359" s="14"/>
      <x:c r="F359" s="14"/>
      <x:c r="G359" s="14"/>
      <x:c r="H359" s="14"/>
      <x:c r="I359" s="14"/>
      <x:c r="J359" s="14"/>
      <x:c r="K359" s="14"/>
      <x:c r="L359" s="14"/>
      <x:c r="M359" s="14"/>
      <x:c r="N359" s="14"/>
      <x:c r="O359" s="14"/>
      <x:c r="P359" s="14"/>
      <x:c r="Q359" s="14"/>
      <x:c r="R359" s="14"/>
      <x:c r="S359" s="14"/>
      <x:c r="T359" s="14"/>
      <x:c r="U359" s="14"/>
      <x:c r="V359" s="14"/>
      <x:c r="W359" s="14"/>
      <x:c r="X359" s="14"/>
      <x:c r="Y359" s="14"/>
    </x:row>
    <x:row r="360">
      <x:c r="A360" s="14"/>
      <x:c r="B360" s="14"/>
      <x:c r="C360" s="14"/>
      <x:c r="D360" s="14"/>
      <x:c r="E360" s="14"/>
      <x:c r="F360" s="14"/>
      <x:c r="G360" s="14"/>
      <x:c r="H360" s="14"/>
      <x:c r="I360" s="14"/>
      <x:c r="J360" s="14"/>
      <x:c r="K360" s="14"/>
      <x:c r="L360" s="14"/>
      <x:c r="M360" s="14"/>
      <x:c r="N360" s="14"/>
      <x:c r="O360" s="14"/>
      <x:c r="P360" s="14"/>
      <x:c r="Q360" s="14"/>
      <x:c r="R360" s="14"/>
      <x:c r="S360" s="14"/>
      <x:c r="T360" s="14"/>
      <x:c r="U360" s="14"/>
      <x:c r="V360" s="14"/>
      <x:c r="W360" s="14"/>
      <x:c r="X360" s="14"/>
      <x:c r="Y360" s="14"/>
    </x:row>
    <x:row r="361">
      <x:c r="A361" s="14"/>
      <x:c r="B361" s="14"/>
      <x:c r="C361" s="14"/>
      <x:c r="D361" s="14"/>
      <x:c r="E361" s="14"/>
      <x:c r="F361" s="14"/>
      <x:c r="G361" s="14"/>
      <x:c r="H361" s="14"/>
      <x:c r="I361" s="14"/>
      <x:c r="J361" s="14"/>
      <x:c r="K361" s="14"/>
      <x:c r="L361" s="14"/>
      <x:c r="M361" s="14"/>
      <x:c r="N361" s="14"/>
      <x:c r="O361" s="14"/>
      <x:c r="P361" s="14"/>
      <x:c r="Q361" s="14"/>
      <x:c r="R361" s="14"/>
      <x:c r="S361" s="14"/>
      <x:c r="T361" s="14"/>
      <x:c r="U361" s="14"/>
      <x:c r="V361" s="14"/>
      <x:c r="W361" s="14"/>
      <x:c r="X361" s="14"/>
      <x:c r="Y361" s="14"/>
    </x:row>
    <x:row r="362">
      <x:c r="A362" s="14"/>
      <x:c r="B362" s="14"/>
      <x:c r="C362" s="14"/>
      <x:c r="D362" s="14"/>
      <x:c r="E362" s="14"/>
      <x:c r="F362" s="14"/>
      <x:c r="G362" s="14"/>
      <x:c r="H362" s="14"/>
      <x:c r="I362" s="14"/>
      <x:c r="J362" s="14"/>
      <x:c r="K362" s="14"/>
      <x:c r="L362" s="14"/>
      <x:c r="M362" s="14"/>
      <x:c r="N362" s="14"/>
      <x:c r="O362" s="14"/>
      <x:c r="P362" s="14"/>
      <x:c r="Q362" s="14"/>
      <x:c r="R362" s="14"/>
      <x:c r="S362" s="14"/>
      <x:c r="T362" s="14"/>
      <x:c r="U362" s="14"/>
      <x:c r="V362" s="14"/>
      <x:c r="W362" s="14"/>
      <x:c r="X362" s="14"/>
      <x:c r="Y362" s="14"/>
    </x:row>
    <x:row r="363">
      <x:c r="A363" s="14"/>
      <x:c r="B363" s="14"/>
      <x:c r="C363" s="14"/>
      <x:c r="D363" s="14"/>
      <x:c r="E363" s="14"/>
      <x:c r="F363" s="14"/>
      <x:c r="G363" s="14"/>
      <x:c r="H363" s="14"/>
      <x:c r="I363" s="14"/>
      <x:c r="J363" s="14"/>
      <x:c r="K363" s="14"/>
      <x:c r="L363" s="14"/>
      <x:c r="M363" s="14"/>
      <x:c r="N363" s="14"/>
      <x:c r="O363" s="14"/>
      <x:c r="P363" s="14"/>
      <x:c r="Q363" s="14"/>
      <x:c r="R363" s="14"/>
      <x:c r="S363" s="14"/>
      <x:c r="T363" s="14"/>
      <x:c r="U363" s="14"/>
      <x:c r="V363" s="14"/>
      <x:c r="W363" s="14"/>
      <x:c r="X363" s="14"/>
      <x:c r="Y363" s="14"/>
    </x:row>
    <x:row r="364">
      <x:c r="A364" s="14"/>
      <x:c r="B364" s="14"/>
      <x:c r="C364" s="14"/>
      <x:c r="D364" s="14"/>
      <x:c r="E364" s="14"/>
      <x:c r="F364" s="14"/>
      <x:c r="G364" s="14"/>
      <x:c r="H364" s="14"/>
      <x:c r="I364" s="14"/>
      <x:c r="J364" s="14"/>
      <x:c r="K364" s="14"/>
      <x:c r="L364" s="14"/>
      <x:c r="M364" s="14"/>
      <x:c r="N364" s="14"/>
      <x:c r="O364" s="14"/>
      <x:c r="P364" s="14"/>
      <x:c r="Q364" s="14"/>
      <x:c r="R364" s="14"/>
      <x:c r="S364" s="14"/>
      <x:c r="T364" s="14"/>
      <x:c r="U364" s="14"/>
      <x:c r="V364" s="14"/>
      <x:c r="W364" s="14"/>
      <x:c r="X364" s="14"/>
      <x:c r="Y364" s="14"/>
    </x:row>
    <x:row r="365">
      <x:c r="A365" s="14"/>
      <x:c r="B365" s="14"/>
      <x:c r="C365" s="14"/>
      <x:c r="D365" s="14"/>
      <x:c r="E365" s="14"/>
      <x:c r="F365" s="14"/>
      <x:c r="G365" s="14"/>
      <x:c r="H365" s="14"/>
      <x:c r="I365" s="14"/>
      <x:c r="J365" s="14"/>
      <x:c r="K365" s="14"/>
      <x:c r="L365" s="14"/>
      <x:c r="M365" s="14"/>
      <x:c r="N365" s="14"/>
      <x:c r="O365" s="14"/>
      <x:c r="P365" s="14"/>
      <x:c r="Q365" s="14"/>
      <x:c r="R365" s="14"/>
      <x:c r="S365" s="14"/>
      <x:c r="T365" s="14"/>
      <x:c r="U365" s="14"/>
      <x:c r="V365" s="14"/>
      <x:c r="W365" s="14"/>
      <x:c r="X365" s="14"/>
      <x:c r="Y365" s="14"/>
    </x:row>
    <x:row r="366">
      <x:c r="A366" s="14"/>
      <x:c r="B366" s="14"/>
      <x:c r="C366" s="14"/>
      <x:c r="D366" s="14"/>
      <x:c r="E366" s="14"/>
      <x:c r="F366" s="14"/>
      <x:c r="G366" s="14"/>
      <x:c r="H366" s="14"/>
      <x:c r="I366" s="14"/>
      <x:c r="J366" s="14"/>
      <x:c r="K366" s="14"/>
      <x:c r="L366" s="14"/>
      <x:c r="M366" s="14"/>
      <x:c r="N366" s="14"/>
      <x:c r="O366" s="14"/>
      <x:c r="P366" s="14"/>
      <x:c r="Q366" s="14"/>
      <x:c r="R366" s="14"/>
      <x:c r="S366" s="14"/>
      <x:c r="T366" s="14"/>
      <x:c r="U366" s="14"/>
      <x:c r="V366" s="14"/>
      <x:c r="W366" s="14"/>
      <x:c r="X366" s="14"/>
      <x:c r="Y366" s="14"/>
    </x:row>
    <x:row r="367">
      <x:c r="A367" s="14"/>
      <x:c r="B367" s="14"/>
      <x:c r="C367" s="14"/>
      <x:c r="D367" s="14"/>
      <x:c r="E367" s="14"/>
      <x:c r="F367" s="14"/>
      <x:c r="G367" s="14"/>
      <x:c r="H367" s="14"/>
      <x:c r="I367" s="14"/>
      <x:c r="J367" s="14"/>
      <x:c r="K367" s="14"/>
      <x:c r="L367" s="14"/>
      <x:c r="M367" s="14"/>
      <x:c r="N367" s="14"/>
      <x:c r="O367" s="14"/>
      <x:c r="P367" s="14"/>
      <x:c r="Q367" s="14"/>
      <x:c r="R367" s="14"/>
      <x:c r="S367" s="14"/>
      <x:c r="T367" s="14"/>
      <x:c r="U367" s="14"/>
      <x:c r="V367" s="14"/>
      <x:c r="W367" s="14"/>
      <x:c r="X367" s="14"/>
      <x:c r="Y367" s="14"/>
    </x:row>
    <x:row r="368">
      <x:c r="A368" s="14"/>
      <x:c r="B368" s="14"/>
      <x:c r="C368" s="14"/>
      <x:c r="D368" s="14"/>
      <x:c r="E368" s="14"/>
      <x:c r="F368" s="14"/>
      <x:c r="G368" s="14"/>
      <x:c r="H368" s="14"/>
      <x:c r="I368" s="14"/>
      <x:c r="J368" s="14"/>
      <x:c r="K368" s="14"/>
      <x:c r="L368" s="14"/>
      <x:c r="M368" s="14"/>
      <x:c r="N368" s="14"/>
      <x:c r="O368" s="14"/>
      <x:c r="P368" s="14"/>
      <x:c r="Q368" s="14"/>
      <x:c r="R368" s="14"/>
      <x:c r="S368" s="14"/>
      <x:c r="T368" s="14"/>
      <x:c r="U368" s="14"/>
      <x:c r="V368" s="14"/>
      <x:c r="W368" s="14"/>
      <x:c r="X368" s="14"/>
      <x:c r="Y368" s="14"/>
    </x:row>
    <x:row r="369">
      <x:c r="A369" s="14"/>
      <x:c r="B369" s="14"/>
      <x:c r="C369" s="14"/>
      <x:c r="D369" s="14"/>
      <x:c r="E369" s="14"/>
      <x:c r="F369" s="14"/>
      <x:c r="G369" s="14"/>
      <x:c r="H369" s="14"/>
      <x:c r="I369" s="14"/>
      <x:c r="J369" s="14"/>
      <x:c r="K369" s="14"/>
      <x:c r="L369" s="14"/>
      <x:c r="M369" s="14"/>
      <x:c r="N369" s="14"/>
      <x:c r="O369" s="14"/>
      <x:c r="P369" s="14"/>
      <x:c r="Q369" s="14"/>
      <x:c r="R369" s="14"/>
      <x:c r="S369" s="14"/>
      <x:c r="T369" s="14"/>
      <x:c r="U369" s="14"/>
      <x:c r="V369" s="14"/>
      <x:c r="W369" s="14"/>
      <x:c r="X369" s="14"/>
      <x:c r="Y369" s="14"/>
    </x:row>
    <x:row r="370">
      <x:c r="A370" s="14"/>
      <x:c r="B370" s="14"/>
      <x:c r="C370" s="14"/>
      <x:c r="D370" s="14"/>
      <x:c r="E370" s="14"/>
      <x:c r="F370" s="14"/>
      <x:c r="G370" s="14"/>
      <x:c r="H370" s="14"/>
      <x:c r="I370" s="14"/>
      <x:c r="J370" s="14"/>
      <x:c r="K370" s="14"/>
      <x:c r="L370" s="14"/>
      <x:c r="M370" s="14"/>
      <x:c r="N370" s="14"/>
      <x:c r="O370" s="14"/>
      <x:c r="P370" s="14"/>
      <x:c r="Q370" s="14"/>
      <x:c r="R370" s="14"/>
      <x:c r="S370" s="14"/>
      <x:c r="T370" s="14"/>
      <x:c r="U370" s="14"/>
      <x:c r="V370" s="14"/>
      <x:c r="W370" s="14"/>
      <x:c r="X370" s="14"/>
      <x:c r="Y370" s="14"/>
    </x:row>
    <x:row r="371">
      <x:c r="A371" s="14"/>
      <x:c r="B371" s="14"/>
      <x:c r="C371" s="14"/>
      <x:c r="D371" s="14"/>
      <x:c r="E371" s="14"/>
      <x:c r="F371" s="14"/>
      <x:c r="G371" s="14"/>
      <x:c r="H371" s="14"/>
      <x:c r="I371" s="14"/>
      <x:c r="J371" s="14"/>
      <x:c r="K371" s="14"/>
      <x:c r="L371" s="14"/>
      <x:c r="M371" s="14"/>
      <x:c r="N371" s="14"/>
      <x:c r="O371" s="14"/>
      <x:c r="P371" s="14"/>
      <x:c r="Q371" s="14"/>
      <x:c r="R371" s="14"/>
      <x:c r="S371" s="14"/>
      <x:c r="T371" s="14"/>
      <x:c r="U371" s="14"/>
      <x:c r="V371" s="14"/>
      <x:c r="W371" s="14"/>
      <x:c r="X371" s="14"/>
      <x:c r="Y371" s="14"/>
    </x:row>
    <x:row r="372">
      <x:c r="A372" s="14"/>
      <x:c r="B372" s="14"/>
      <x:c r="C372" s="14"/>
      <x:c r="D372" s="14"/>
      <x:c r="E372" s="14"/>
      <x:c r="F372" s="14"/>
      <x:c r="G372" s="14"/>
      <x:c r="H372" s="14"/>
      <x:c r="I372" s="14"/>
      <x:c r="J372" s="14"/>
      <x:c r="K372" s="14"/>
      <x:c r="L372" s="14"/>
      <x:c r="M372" s="14"/>
      <x:c r="N372" s="14"/>
      <x:c r="O372" s="14"/>
      <x:c r="P372" s="14"/>
      <x:c r="Q372" s="14"/>
      <x:c r="R372" s="14"/>
      <x:c r="S372" s="14"/>
      <x:c r="T372" s="14"/>
      <x:c r="U372" s="14"/>
      <x:c r="V372" s="14"/>
      <x:c r="W372" s="14"/>
      <x:c r="X372" s="14"/>
      <x:c r="Y372" s="14"/>
    </x:row>
    <x:row r="373">
      <x:c r="A373" s="14"/>
      <x:c r="B373" s="14"/>
      <x:c r="C373" s="14"/>
      <x:c r="D373" s="14"/>
      <x:c r="E373" s="14"/>
      <x:c r="F373" s="14"/>
      <x:c r="G373" s="14"/>
      <x:c r="H373" s="14"/>
      <x:c r="I373" s="14"/>
      <x:c r="J373" s="14"/>
      <x:c r="K373" s="14"/>
      <x:c r="L373" s="14"/>
      <x:c r="M373" s="14"/>
      <x:c r="N373" s="14"/>
      <x:c r="O373" s="14"/>
      <x:c r="P373" s="14"/>
      <x:c r="Q373" s="14"/>
      <x:c r="R373" s="14"/>
      <x:c r="S373" s="14"/>
      <x:c r="T373" s="14"/>
      <x:c r="U373" s="14"/>
      <x:c r="V373" s="14"/>
      <x:c r="W373" s="14"/>
      <x:c r="X373" s="14"/>
      <x:c r="Y373" s="14"/>
    </x:row>
    <x:row r="374">
      <x:c r="A374" s="14"/>
      <x:c r="B374" s="14"/>
      <x:c r="C374" s="14"/>
      <x:c r="D374" s="14"/>
      <x:c r="E374" s="14"/>
      <x:c r="F374" s="14"/>
      <x:c r="G374" s="14"/>
      <x:c r="H374" s="14"/>
      <x:c r="I374" s="14"/>
      <x:c r="J374" s="14"/>
      <x:c r="K374" s="14"/>
      <x:c r="L374" s="14"/>
      <x:c r="M374" s="14"/>
      <x:c r="N374" s="14"/>
      <x:c r="O374" s="14"/>
      <x:c r="P374" s="14"/>
      <x:c r="Q374" s="14"/>
      <x:c r="R374" s="14"/>
      <x:c r="S374" s="14"/>
      <x:c r="T374" s="14"/>
      <x:c r="U374" s="14"/>
      <x:c r="V374" s="14"/>
      <x:c r="W374" s="14"/>
      <x:c r="X374" s="14"/>
      <x:c r="Y374" s="14"/>
    </x:row>
    <x:row r="375">
      <x:c r="A375" s="14"/>
      <x:c r="B375" s="14"/>
      <x:c r="C375" s="14"/>
      <x:c r="D375" s="14"/>
      <x:c r="E375" s="14"/>
      <x:c r="F375" s="14"/>
      <x:c r="G375" s="14"/>
      <x:c r="H375" s="14"/>
      <x:c r="I375" s="14"/>
      <x:c r="J375" s="14"/>
      <x:c r="K375" s="14"/>
      <x:c r="L375" s="14"/>
      <x:c r="M375" s="14"/>
      <x:c r="N375" s="14"/>
      <x:c r="O375" s="14"/>
      <x:c r="P375" s="14"/>
      <x:c r="Q375" s="14"/>
      <x:c r="R375" s="14"/>
      <x:c r="S375" s="14"/>
      <x:c r="T375" s="14"/>
      <x:c r="U375" s="14"/>
      <x:c r="V375" s="14"/>
      <x:c r="W375" s="14"/>
      <x:c r="X375" s="14"/>
      <x:c r="Y375" s="14"/>
    </x:row>
    <x:row r="376">
      <x:c r="A376" s="14"/>
      <x:c r="B376" s="14"/>
      <x:c r="C376" s="14"/>
      <x:c r="D376" s="14"/>
      <x:c r="E376" s="14"/>
      <x:c r="F376" s="14"/>
      <x:c r="G376" s="14"/>
      <x:c r="H376" s="14"/>
      <x:c r="I376" s="14"/>
      <x:c r="J376" s="14"/>
      <x:c r="K376" s="14"/>
      <x:c r="L376" s="14"/>
      <x:c r="M376" s="14"/>
      <x:c r="N376" s="14"/>
      <x:c r="O376" s="14"/>
      <x:c r="P376" s="14"/>
      <x:c r="Q376" s="14"/>
      <x:c r="R376" s="14"/>
      <x:c r="S376" s="14"/>
      <x:c r="T376" s="14"/>
      <x:c r="U376" s="14"/>
      <x:c r="V376" s="14"/>
      <x:c r="W376" s="14"/>
      <x:c r="X376" s="14"/>
      <x:c r="Y376" s="14"/>
    </x:row>
    <x:row r="377">
      <x:c r="A377" s="14"/>
      <x:c r="B377" s="14"/>
      <x:c r="C377" s="14"/>
      <x:c r="D377" s="14"/>
      <x:c r="E377" s="14"/>
      <x:c r="F377" s="14"/>
      <x:c r="G377" s="14"/>
      <x:c r="H377" s="14"/>
      <x:c r="I377" s="14"/>
      <x:c r="J377" s="14"/>
      <x:c r="K377" s="14"/>
      <x:c r="L377" s="14"/>
      <x:c r="M377" s="14"/>
      <x:c r="N377" s="14"/>
      <x:c r="O377" s="14"/>
      <x:c r="P377" s="14"/>
      <x:c r="Q377" s="14"/>
      <x:c r="R377" s="14"/>
      <x:c r="S377" s="14"/>
      <x:c r="T377" s="14"/>
      <x:c r="U377" s="14"/>
      <x:c r="V377" s="14"/>
      <x:c r="W377" s="14"/>
      <x:c r="X377" s="14"/>
      <x:c r="Y377" s="14"/>
    </x:row>
    <x:row r="378">
      <x:c r="A378" s="14"/>
      <x:c r="B378" s="14"/>
      <x:c r="C378" s="14"/>
      <x:c r="D378" s="14"/>
      <x:c r="E378" s="14"/>
      <x:c r="F378" s="14"/>
      <x:c r="G378" s="14"/>
      <x:c r="H378" s="14"/>
      <x:c r="I378" s="14"/>
      <x:c r="J378" s="14"/>
      <x:c r="K378" s="14"/>
      <x:c r="L378" s="14"/>
      <x:c r="M378" s="14"/>
      <x:c r="N378" s="14"/>
      <x:c r="O378" s="14"/>
      <x:c r="P378" s="14"/>
      <x:c r="Q378" s="14"/>
      <x:c r="R378" s="14"/>
      <x:c r="S378" s="14"/>
      <x:c r="T378" s="14"/>
      <x:c r="U378" s="14"/>
      <x:c r="V378" s="14"/>
      <x:c r="W378" s="14"/>
      <x:c r="X378" s="14"/>
      <x:c r="Y378" s="14"/>
    </x:row>
    <x:row r="379">
      <x:c r="A379" s="14"/>
      <x:c r="B379" s="14"/>
      <x:c r="C379" s="14"/>
      <x:c r="D379" s="14"/>
      <x:c r="E379" s="14"/>
      <x:c r="F379" s="14"/>
      <x:c r="G379" s="14"/>
      <x:c r="H379" s="14"/>
      <x:c r="I379" s="14"/>
      <x:c r="J379" s="14"/>
      <x:c r="K379" s="14"/>
      <x:c r="L379" s="14"/>
      <x:c r="M379" s="14"/>
      <x:c r="N379" s="14"/>
      <x:c r="O379" s="14"/>
      <x:c r="P379" s="14"/>
      <x:c r="Q379" s="14"/>
      <x:c r="R379" s="14"/>
      <x:c r="S379" s="14"/>
      <x:c r="T379" s="14"/>
      <x:c r="U379" s="14"/>
      <x:c r="V379" s="14"/>
      <x:c r="W379" s="14"/>
      <x:c r="X379" s="14"/>
      <x:c r="Y379" s="14"/>
    </x:row>
    <x:row r="380">
      <x:c r="A380" s="14"/>
      <x:c r="B380" s="14"/>
      <x:c r="C380" s="14"/>
      <x:c r="D380" s="14"/>
      <x:c r="E380" s="14"/>
      <x:c r="F380" s="14"/>
      <x:c r="G380" s="14"/>
      <x:c r="H380" s="14"/>
      <x:c r="I380" s="14"/>
      <x:c r="J380" s="14"/>
      <x:c r="K380" s="14"/>
      <x:c r="L380" s="14"/>
      <x:c r="M380" s="14"/>
      <x:c r="N380" s="14"/>
      <x:c r="O380" s="14"/>
      <x:c r="P380" s="14"/>
      <x:c r="Q380" s="14"/>
      <x:c r="R380" s="14"/>
      <x:c r="S380" s="14"/>
      <x:c r="T380" s="14"/>
      <x:c r="U380" s="14"/>
      <x:c r="V380" s="14"/>
      <x:c r="W380" s="14"/>
      <x:c r="X380" s="14"/>
      <x:c r="Y380" s="14"/>
    </x:row>
    <x:row r="381">
      <x:c r="A381" s="14"/>
      <x:c r="B381" s="14"/>
      <x:c r="C381" s="14"/>
      <x:c r="D381" s="14"/>
      <x:c r="E381" s="14"/>
      <x:c r="F381" s="14"/>
      <x:c r="G381" s="14"/>
      <x:c r="H381" s="14"/>
      <x:c r="I381" s="14"/>
      <x:c r="J381" s="14"/>
      <x:c r="K381" s="14"/>
      <x:c r="L381" s="14"/>
      <x:c r="M381" s="14"/>
      <x:c r="N381" s="14"/>
      <x:c r="O381" s="14"/>
      <x:c r="P381" s="14"/>
      <x:c r="Q381" s="14"/>
      <x:c r="R381" s="14"/>
      <x:c r="S381" s="14"/>
      <x:c r="T381" s="14"/>
      <x:c r="U381" s="14"/>
      <x:c r="V381" s="14"/>
      <x:c r="W381" s="14"/>
      <x:c r="X381" s="14"/>
      <x:c r="Y381" s="14"/>
    </x:row>
    <x:row r="382">
      <x:c r="A382" s="14"/>
      <x:c r="B382" s="14"/>
      <x:c r="C382" s="14"/>
      <x:c r="D382" s="14"/>
      <x:c r="E382" s="14"/>
      <x:c r="F382" s="14"/>
      <x:c r="G382" s="14"/>
      <x:c r="H382" s="14"/>
      <x:c r="I382" s="14"/>
      <x:c r="J382" s="14"/>
      <x:c r="K382" s="14"/>
      <x:c r="L382" s="14"/>
      <x:c r="M382" s="14"/>
      <x:c r="N382" s="14"/>
      <x:c r="O382" s="14"/>
      <x:c r="P382" s="14"/>
      <x:c r="Q382" s="14"/>
      <x:c r="R382" s="14"/>
      <x:c r="S382" s="14"/>
      <x:c r="T382" s="14"/>
      <x:c r="U382" s="14"/>
      <x:c r="V382" s="14"/>
      <x:c r="W382" s="14"/>
      <x:c r="X382" s="14"/>
      <x:c r="Y382" s="14"/>
    </x:row>
    <x:row r="383">
      <x:c r="A383" s="14"/>
      <x:c r="B383" s="14"/>
      <x:c r="C383" s="14"/>
      <x:c r="D383" s="14"/>
      <x:c r="E383" s="14"/>
      <x:c r="F383" s="14"/>
      <x:c r="G383" s="14"/>
      <x:c r="H383" s="14"/>
      <x:c r="I383" s="14"/>
      <x:c r="J383" s="14"/>
      <x:c r="K383" s="14"/>
      <x:c r="L383" s="14"/>
      <x:c r="M383" s="14"/>
      <x:c r="N383" s="14"/>
      <x:c r="O383" s="14"/>
      <x:c r="P383" s="14"/>
      <x:c r="Q383" s="14"/>
      <x:c r="R383" s="14"/>
      <x:c r="S383" s="14"/>
      <x:c r="T383" s="14"/>
      <x:c r="U383" s="14"/>
      <x:c r="V383" s="14"/>
      <x:c r="W383" s="14"/>
      <x:c r="X383" s="14"/>
      <x:c r="Y383" s="14"/>
    </x:row>
    <x:row r="384">
      <x:c r="A384" s="14"/>
      <x:c r="B384" s="14"/>
      <x:c r="C384" s="14"/>
      <x:c r="D384" s="14"/>
      <x:c r="E384" s="14"/>
      <x:c r="F384" s="14"/>
      <x:c r="G384" s="14"/>
      <x:c r="H384" s="14"/>
      <x:c r="I384" s="14"/>
      <x:c r="J384" s="14"/>
      <x:c r="K384" s="14"/>
      <x:c r="L384" s="14"/>
      <x:c r="M384" s="14"/>
      <x:c r="N384" s="14"/>
      <x:c r="O384" s="14"/>
      <x:c r="P384" s="14"/>
      <x:c r="Q384" s="14"/>
      <x:c r="R384" s="14"/>
      <x:c r="S384" s="14"/>
      <x:c r="T384" s="14"/>
      <x:c r="U384" s="14"/>
      <x:c r="V384" s="14"/>
      <x:c r="W384" s="14"/>
      <x:c r="X384" s="14"/>
      <x:c r="Y384" s="14"/>
    </x:row>
    <x:row r="385">
      <x:c r="A385" s="14"/>
      <x:c r="B385" s="14"/>
      <x:c r="C385" s="14"/>
      <x:c r="D385" s="14"/>
      <x:c r="E385" s="14"/>
      <x:c r="F385" s="14"/>
      <x:c r="G385" s="14"/>
      <x:c r="H385" s="14"/>
      <x:c r="I385" s="14"/>
      <x:c r="J385" s="14"/>
      <x:c r="K385" s="14"/>
      <x:c r="L385" s="14"/>
      <x:c r="M385" s="14"/>
      <x:c r="N385" s="14"/>
      <x:c r="O385" s="14"/>
      <x:c r="P385" s="14"/>
      <x:c r="Q385" s="14"/>
      <x:c r="R385" s="14"/>
      <x:c r="S385" s="14"/>
      <x:c r="T385" s="14"/>
      <x:c r="U385" s="14"/>
      <x:c r="V385" s="14"/>
      <x:c r="W385" s="14"/>
      <x:c r="X385" s="14"/>
      <x:c r="Y385" s="14"/>
    </x:row>
    <x:row r="386">
      <x:c r="A386" s="14"/>
      <x:c r="B386" s="14"/>
      <x:c r="C386" s="14"/>
      <x:c r="D386" s="14"/>
      <x:c r="E386" s="14"/>
      <x:c r="F386" s="14"/>
      <x:c r="G386" s="14"/>
      <x:c r="H386" s="14"/>
      <x:c r="I386" s="14"/>
      <x:c r="J386" s="14"/>
      <x:c r="K386" s="14"/>
      <x:c r="L386" s="14"/>
      <x:c r="M386" s="14"/>
      <x:c r="N386" s="14"/>
      <x:c r="O386" s="14"/>
      <x:c r="P386" s="14"/>
      <x:c r="Q386" s="14"/>
      <x:c r="R386" s="14"/>
      <x:c r="S386" s="14"/>
      <x:c r="T386" s="14"/>
      <x:c r="U386" s="14"/>
      <x:c r="V386" s="14"/>
      <x:c r="W386" s="14"/>
      <x:c r="X386" s="14"/>
      <x:c r="Y386" s="14"/>
    </x:row>
    <x:row r="387">
      <x:c r="A387" s="14"/>
      <x:c r="B387" s="14"/>
      <x:c r="C387" s="14"/>
      <x:c r="D387" s="14"/>
      <x:c r="E387" s="14"/>
      <x:c r="F387" s="14"/>
      <x:c r="G387" s="14"/>
      <x:c r="H387" s="14"/>
      <x:c r="I387" s="14"/>
      <x:c r="J387" s="14"/>
      <x:c r="K387" s="14"/>
      <x:c r="L387" s="14"/>
      <x:c r="M387" s="14"/>
      <x:c r="N387" s="14"/>
      <x:c r="O387" s="14"/>
      <x:c r="P387" s="14"/>
      <x:c r="Q387" s="14"/>
      <x:c r="R387" s="14"/>
      <x:c r="S387" s="14"/>
      <x:c r="T387" s="14"/>
      <x:c r="U387" s="14"/>
      <x:c r="V387" s="14"/>
      <x:c r="W387" s="14"/>
      <x:c r="X387" s="14"/>
      <x:c r="Y387" s="14"/>
    </x:row>
    <x:row r="388">
      <x:c r="A388" s="14"/>
      <x:c r="B388" s="14"/>
      <x:c r="C388" s="14"/>
      <x:c r="D388" s="14"/>
      <x:c r="E388" s="14"/>
      <x:c r="F388" s="14"/>
      <x:c r="G388" s="14"/>
      <x:c r="H388" s="14"/>
      <x:c r="I388" s="14"/>
      <x:c r="J388" s="14"/>
      <x:c r="K388" s="14"/>
      <x:c r="L388" s="14"/>
      <x:c r="M388" s="14"/>
      <x:c r="N388" s="14"/>
      <x:c r="O388" s="14"/>
      <x:c r="P388" s="14"/>
      <x:c r="Q388" s="14"/>
      <x:c r="R388" s="14"/>
      <x:c r="S388" s="14"/>
      <x:c r="T388" s="14"/>
      <x:c r="U388" s="14"/>
      <x:c r="V388" s="14"/>
      <x:c r="W388" s="14"/>
      <x:c r="X388" s="14"/>
      <x:c r="Y388" s="14"/>
    </x:row>
    <x:row r="389">
      <x:c r="A389" s="14"/>
      <x:c r="B389" s="14"/>
      <x:c r="C389" s="14"/>
      <x:c r="D389" s="14"/>
      <x:c r="E389" s="14"/>
      <x:c r="F389" s="14"/>
      <x:c r="G389" s="14"/>
      <x:c r="H389" s="14"/>
      <x:c r="I389" s="14"/>
      <x:c r="J389" s="14"/>
      <x:c r="K389" s="14"/>
      <x:c r="L389" s="14"/>
      <x:c r="M389" s="14"/>
      <x:c r="N389" s="14"/>
      <x:c r="O389" s="14"/>
      <x:c r="P389" s="14"/>
      <x:c r="Q389" s="14"/>
      <x:c r="R389" s="14"/>
      <x:c r="S389" s="14"/>
      <x:c r="T389" s="14"/>
      <x:c r="U389" s="14"/>
      <x:c r="V389" s="14"/>
      <x:c r="W389" s="14"/>
      <x:c r="X389" s="14"/>
      <x:c r="Y389" s="14"/>
    </x:row>
    <x:row r="390">
      <x:c r="A390" s="14"/>
      <x:c r="B390" s="14"/>
      <x:c r="C390" s="14"/>
      <x:c r="D390" s="14"/>
      <x:c r="E390" s="14"/>
      <x:c r="F390" s="14"/>
      <x:c r="G390" s="14"/>
      <x:c r="H390" s="14"/>
      <x:c r="I390" s="14"/>
      <x:c r="J390" s="14"/>
      <x:c r="K390" s="14"/>
      <x:c r="L390" s="14"/>
      <x:c r="M390" s="14"/>
      <x:c r="N390" s="14"/>
      <x:c r="O390" s="14"/>
      <x:c r="P390" s="14"/>
      <x:c r="Q390" s="14"/>
      <x:c r="R390" s="14"/>
      <x:c r="S390" s="14"/>
      <x:c r="T390" s="14"/>
      <x:c r="U390" s="14"/>
      <x:c r="V390" s="14"/>
      <x:c r="W390" s="14"/>
      <x:c r="X390" s="14"/>
      <x:c r="Y390" s="14"/>
    </x:row>
    <x:row r="391">
      <x:c r="A391" s="14"/>
      <x:c r="B391" s="14"/>
      <x:c r="C391" s="14"/>
      <x:c r="D391" s="14"/>
      <x:c r="E391" s="14"/>
      <x:c r="F391" s="14"/>
      <x:c r="G391" s="14"/>
      <x:c r="H391" s="14"/>
      <x:c r="I391" s="14"/>
      <x:c r="J391" s="14"/>
      <x:c r="K391" s="14"/>
      <x:c r="L391" s="14"/>
      <x:c r="M391" s="14"/>
      <x:c r="N391" s="14"/>
      <x:c r="O391" s="14"/>
      <x:c r="P391" s="14"/>
      <x:c r="Q391" s="14"/>
      <x:c r="R391" s="14"/>
      <x:c r="S391" s="14"/>
      <x:c r="T391" s="14"/>
      <x:c r="U391" s="14"/>
      <x:c r="V391" s="14"/>
      <x:c r="W391" s="14"/>
      <x:c r="X391" s="14"/>
      <x:c r="Y391" s="14"/>
    </x:row>
    <x:row r="392">
      <x:c r="A392" s="14"/>
      <x:c r="B392" s="14"/>
      <x:c r="C392" s="14"/>
      <x:c r="D392" s="14"/>
      <x:c r="E392" s="14"/>
      <x:c r="F392" s="14"/>
      <x:c r="G392" s="14"/>
      <x:c r="H392" s="14"/>
      <x:c r="I392" s="14"/>
      <x:c r="J392" s="14"/>
      <x:c r="K392" s="14"/>
      <x:c r="L392" s="14"/>
      <x:c r="M392" s="14"/>
      <x:c r="N392" s="14"/>
      <x:c r="O392" s="14"/>
      <x:c r="P392" s="14"/>
      <x:c r="Q392" s="14"/>
      <x:c r="R392" s="14"/>
      <x:c r="S392" s="14"/>
      <x:c r="T392" s="14"/>
      <x:c r="U392" s="14"/>
      <x:c r="V392" s="14"/>
      <x:c r="W392" s="14"/>
      <x:c r="X392" s="14"/>
      <x:c r="Y392" s="14"/>
    </x:row>
    <x:row r="393">
      <x:c r="A393" s="14"/>
      <x:c r="B393" s="14"/>
      <x:c r="C393" s="14"/>
      <x:c r="D393" s="14"/>
      <x:c r="E393" s="14"/>
      <x:c r="F393" s="14"/>
      <x:c r="G393" s="14"/>
      <x:c r="H393" s="14"/>
      <x:c r="I393" s="14"/>
      <x:c r="J393" s="14"/>
      <x:c r="K393" s="14"/>
      <x:c r="L393" s="14"/>
      <x:c r="M393" s="14"/>
      <x:c r="N393" s="14"/>
      <x:c r="O393" s="14"/>
      <x:c r="P393" s="14"/>
      <x:c r="Q393" s="14"/>
      <x:c r="R393" s="14"/>
      <x:c r="S393" s="14"/>
      <x:c r="T393" s="14"/>
      <x:c r="U393" s="14"/>
      <x:c r="V393" s="14"/>
      <x:c r="W393" s="14"/>
      <x:c r="X393" s="14"/>
      <x:c r="Y393" s="14"/>
    </x:row>
    <x:row r="394">
      <x:c r="A394" s="14"/>
      <x:c r="B394" s="14"/>
      <x:c r="C394" s="14"/>
      <x:c r="D394" s="14"/>
      <x:c r="E394" s="14"/>
      <x:c r="F394" s="14"/>
      <x:c r="G394" s="14"/>
      <x:c r="H394" s="14"/>
      <x:c r="I394" s="14"/>
      <x:c r="J394" s="14"/>
      <x:c r="K394" s="14"/>
      <x:c r="L394" s="14"/>
      <x:c r="M394" s="14"/>
      <x:c r="N394" s="14"/>
      <x:c r="O394" s="14"/>
      <x:c r="P394" s="14"/>
      <x:c r="Q394" s="14"/>
      <x:c r="R394" s="14"/>
      <x:c r="S394" s="14"/>
      <x:c r="T394" s="14"/>
      <x:c r="U394" s="14"/>
      <x:c r="V394" s="14"/>
      <x:c r="W394" s="14"/>
      <x:c r="X394" s="14"/>
      <x:c r="Y394" s="14"/>
    </x:row>
    <x:row r="395">
      <x:c r="A395" s="14"/>
      <x:c r="B395" s="14"/>
      <x:c r="C395" s="14"/>
      <x:c r="D395" s="14"/>
      <x:c r="E395" s="14"/>
      <x:c r="F395" s="14"/>
      <x:c r="G395" s="14"/>
      <x:c r="H395" s="14"/>
      <x:c r="I395" s="14"/>
      <x:c r="J395" s="14"/>
      <x:c r="K395" s="14"/>
      <x:c r="L395" s="14"/>
      <x:c r="M395" s="14"/>
      <x:c r="N395" s="14"/>
      <x:c r="O395" s="14"/>
      <x:c r="P395" s="14"/>
      <x:c r="Q395" s="14"/>
      <x:c r="R395" s="14"/>
      <x:c r="S395" s="14"/>
      <x:c r="T395" s="14"/>
      <x:c r="U395" s="14"/>
      <x:c r="V395" s="14"/>
      <x:c r="W395" s="14"/>
      <x:c r="X395" s="14"/>
      <x:c r="Y395" s="14"/>
    </x:row>
    <x:row r="396">
      <x:c r="A396" s="14"/>
      <x:c r="B396" s="14"/>
      <x:c r="C396" s="14"/>
      <x:c r="D396" s="14"/>
      <x:c r="E396" s="14"/>
      <x:c r="F396" s="14"/>
      <x:c r="G396" s="14"/>
      <x:c r="H396" s="14"/>
      <x:c r="I396" s="14"/>
      <x:c r="J396" s="14"/>
      <x:c r="K396" s="14"/>
      <x:c r="L396" s="14"/>
      <x:c r="M396" s="14"/>
      <x:c r="N396" s="14"/>
      <x:c r="O396" s="14"/>
      <x:c r="P396" s="14"/>
      <x:c r="Q396" s="14"/>
      <x:c r="R396" s="14"/>
      <x:c r="S396" s="14"/>
      <x:c r="T396" s="14"/>
      <x:c r="U396" s="14"/>
      <x:c r="V396" s="14"/>
      <x:c r="W396" s="14"/>
      <x:c r="X396" s="14"/>
      <x:c r="Y396" s="14"/>
    </x:row>
    <x:row r="397">
      <x:c r="A397" s="14"/>
      <x:c r="B397" s="14"/>
      <x:c r="C397" s="14"/>
      <x:c r="D397" s="14"/>
      <x:c r="E397" s="14"/>
      <x:c r="F397" s="14"/>
      <x:c r="G397" s="14"/>
      <x:c r="H397" s="14"/>
      <x:c r="I397" s="14"/>
      <x:c r="J397" s="14"/>
      <x:c r="K397" s="14"/>
      <x:c r="L397" s="14"/>
      <x:c r="M397" s="14"/>
      <x:c r="N397" s="14"/>
      <x:c r="O397" s="14"/>
      <x:c r="P397" s="14"/>
      <x:c r="Q397" s="14"/>
      <x:c r="R397" s="14"/>
      <x:c r="S397" s="14"/>
      <x:c r="T397" s="14"/>
      <x:c r="U397" s="14"/>
      <x:c r="V397" s="14"/>
      <x:c r="W397" s="14"/>
      <x:c r="X397" s="14"/>
      <x:c r="Y397" s="14"/>
    </x:row>
    <x:row r="398">
      <x:c r="A398" s="14"/>
      <x:c r="B398" s="14"/>
      <x:c r="C398" s="14"/>
      <x:c r="D398" s="14"/>
      <x:c r="E398" s="14"/>
      <x:c r="F398" s="14"/>
      <x:c r="G398" s="14"/>
      <x:c r="H398" s="14"/>
      <x:c r="I398" s="14"/>
      <x:c r="J398" s="14"/>
      <x:c r="K398" s="14"/>
      <x:c r="L398" s="14"/>
      <x:c r="M398" s="14"/>
      <x:c r="N398" s="14"/>
      <x:c r="O398" s="14"/>
      <x:c r="P398" s="14"/>
      <x:c r="Q398" s="14"/>
      <x:c r="R398" s="14"/>
      <x:c r="S398" s="14"/>
      <x:c r="T398" s="14"/>
      <x:c r="U398" s="14"/>
      <x:c r="V398" s="14"/>
      <x:c r="W398" s="14"/>
      <x:c r="X398" s="14"/>
      <x:c r="Y398" s="14"/>
    </x:row>
    <x:row r="399">
      <x:c r="A399" s="14"/>
      <x:c r="B399" s="14"/>
      <x:c r="C399" s="14"/>
      <x:c r="D399" s="14"/>
      <x:c r="E399" s="14"/>
      <x:c r="F399" s="14"/>
      <x:c r="G399" s="14"/>
      <x:c r="H399" s="14"/>
      <x:c r="I399" s="14"/>
      <x:c r="J399" s="14"/>
      <x:c r="K399" s="14"/>
      <x:c r="L399" s="14"/>
      <x:c r="M399" s="14"/>
      <x:c r="N399" s="14"/>
      <x:c r="O399" s="14"/>
      <x:c r="P399" s="14"/>
      <x:c r="Q399" s="14"/>
      <x:c r="R399" s="14"/>
      <x:c r="S399" s="14"/>
      <x:c r="T399" s="14"/>
      <x:c r="U399" s="14"/>
      <x:c r="V399" s="14"/>
      <x:c r="W399" s="14"/>
      <x:c r="X399" s="14"/>
      <x:c r="Y399" s="14"/>
    </x:row>
    <x:row r="400">
      <x:c r="A400" s="14"/>
      <x:c r="B400" s="14"/>
      <x:c r="C400" s="14"/>
      <x:c r="D400" s="14"/>
      <x:c r="E400" s="14"/>
      <x:c r="F400" s="14"/>
      <x:c r="G400" s="14"/>
      <x:c r="H400" s="14"/>
      <x:c r="I400" s="14"/>
      <x:c r="J400" s="14"/>
      <x:c r="K400" s="14"/>
      <x:c r="L400" s="14"/>
      <x:c r="M400" s="14"/>
      <x:c r="N400" s="14"/>
      <x:c r="O400" s="14"/>
      <x:c r="P400" s="14"/>
      <x:c r="Q400" s="14"/>
      <x:c r="R400" s="14"/>
      <x:c r="S400" s="14"/>
      <x:c r="T400" s="14"/>
      <x:c r="U400" s="14"/>
      <x:c r="V400" s="14"/>
      <x:c r="W400" s="14"/>
      <x:c r="X400" s="14"/>
      <x:c r="Y400" s="14"/>
    </x:row>
  </x:sheetData>
  <x:dataValidations count="4">
    <x:dataValidation type="list" sqref="J2:J400">
      <x:formula1>'Lists'!$A$2:$A$11</x:formula1>
    </x:dataValidation>
    <x:dataValidation type="list" sqref="O2:O400">
      <x:formula1>'Lists'!$B$2:$B$6</x:formula1>
    </x:dataValidation>
    <x:dataValidation type="list" sqref="K2:K400">
      <x:formula1>'Lists'!$C$2:$C$9</x:formula1>
    </x:dataValidation>
    <x:dataValidation type="list" sqref="V2:V400">
      <x:formula1>'Lists'!$A$2:$A$11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8" hidden="0" customWidth="1"/>
    <x:col min="4" max="4" width="24" hidden="0" customWidth="1"/>
    <x:col min="5" max="5" width="18" hidden="0" customWidth="1"/>
    <x:col min="6" max="6" width="16" hidden="0" customWidth="1"/>
  </x:cols>
  <x:sheetData>
    <x:row r="1" ht="28" customHeight="1">
      <x:c r="A1" s="18" t="str">
        <x:v>Feature QA Audit Dashboard</x:v>
      </x:c>
      <x:c r="B1" s="18"/>
      <x:c r="C1" s="18"/>
      <x:c r="D1" s="18"/>
      <x:c r="E1" s="18"/>
      <x:c r="F1" s="18"/>
    </x:row>
    <x:row r="2" ht="22" customHeight="1"/>
    <x:row r="3" ht="22" customHeight="1">
      <x:c r="A3" s="20" t="str">
        <x:v>Metric</x:v>
      </x:c>
      <x:c r="B3" s="20" t="str">
        <x:v>Value</x:v>
      </x:c>
      <x:c r="D3" s="20" t="str">
        <x:v>Severity</x:v>
      </x:c>
      <x:c r="E3" s="20" t="str">
        <x:v>Open Count</x:v>
      </x:c>
    </x:row>
    <x:row r="4" ht="22" customHeight="1">
      <x:c r="A4" s="21" t="str">
        <x:v>Tracked Features</x:v>
      </x:c>
      <x:c r="B4" s="21" t="n">
        <x:f>COUNTA('Tracker'!$A$2:$A$400)</x:f>
        <x:v>8</x:v>
      </x:c>
      <x:c r="D4" s="21" t="str">
        <x:v>Critical</x:v>
      </x:c>
      <x:c r="E4" s="21" t="n">
        <x:f>COUNTIFS('Tracker'!$O$2:$O$400,"Critical",'Tracker'!$J$2:$J$400,"&lt;&gt;Verified")</x:f>
        <x:v>0</x:v>
      </x:c>
    </x:row>
    <x:row r="5" ht="22" customHeight="1">
      <x:c r="A5" s="21" t="str">
        <x:v>Current Verified</x:v>
      </x:c>
      <x:c r="B5" s="21" t="n">
        <x:f>COUNTIF('Tracker'!$J$2:$J$400,"Verified")</x:f>
        <x:v>0</x:v>
      </x:c>
      <x:c r="D5" s="21" t="str">
        <x:v>High</x:v>
      </x:c>
      <x:c r="E5" s="21" t="n">
        <x:f>COUNTIFS('Tracker'!$O$2:$O$400,"High",'Tracker'!$J$2:$J$400,"&lt;&gt;Verified")</x:f>
        <x:v>6</x:v>
      </x:c>
    </x:row>
    <x:row r="6" ht="22" customHeight="1">
      <x:c r="A6" s="21" t="str">
        <x:v>Failed Test</x:v>
      </x:c>
      <x:c r="B6" s="21" t="n">
        <x:f>COUNTIF('Tracker'!$J$2:$J$400,"Failed Test")</x:f>
        <x:v>0</x:v>
      </x:c>
      <x:c r="D6" s="21" t="str">
        <x:v>Medium</x:v>
      </x:c>
      <x:c r="E6" s="21" t="n">
        <x:f>COUNTIFS('Tracker'!$O$2:$O$400,"Medium",'Tracker'!$J$2:$J$400,"&lt;&gt;Verified")</x:f>
        <x:v>2</x:v>
      </x:c>
    </x:row>
    <x:row r="7" ht="22" customHeight="1">
      <x:c r="A7" s="21" t="str">
        <x:v>Fix In Progress</x:v>
      </x:c>
      <x:c r="B7" s="21" t="n">
        <x:f>COUNTIF('Tracker'!$J$2:$J$400,"Fix In Progress")</x:f>
        <x:v>0</x:v>
      </x:c>
      <x:c r="D7" s="21" t="str">
        <x:v>Low</x:v>
      </x:c>
      <x:c r="E7" s="21" t="n">
        <x:f>COUNTIFS('Tracker'!$O$2:$O$400,"Low",'Tracker'!$J$2:$J$400,"&lt;&gt;Verified")</x:f>
        <x:v>0</x:v>
      </x:c>
    </x:row>
    <x:row r="8" ht="22" customHeight="1">
      <x:c r="A8" s="21" t="str">
        <x:v>Fixed</x:v>
      </x:c>
      <x:c r="B8" s="21" t="n">
        <x:f>COUNTIF('Tracker'!$J$2:$J$400,"Fixed")</x:f>
        <x:v>8</x:v>
      </x:c>
      <x:c r="D8" s="21" t="str">
        <x:v>Needs Product Decision</x:v>
      </x:c>
      <x:c r="E8" s="21" t="n">
        <x:f>COUNTIF('Tracker'!$J$2:$J$400,"Needs Product Decision")</x:f>
        <x:v>0</x:v>
      </x:c>
    </x:row>
    <x:row r="9" ht="22" customHeight="1">
      <x:c r="A9" s="21" t="str">
        <x:v>Final Verified</x:v>
      </x:c>
      <x:c r="B9" s="21" t="n">
        <x:f>COUNTIF('Tracker'!$V$2:$V$400,"Verified")</x:f>
        <x:v>8</x:v>
      </x:c>
      <x:c r="D9" s="21" t="str">
        <x:v>Rows With Commit Hash</x:v>
      </x:c>
      <x:c r="E9" s="21" t="n">
        <x:f>COUNTA('Tracker'!$S$2:$S$400)</x:f>
        <x:v>8</x:v>
      </x:c>
    </x:row>
    <x:row r="10" ht="22" customHeight="1">
      <x:c r="A10" s="21" t="str">
        <x:v>Blocked</x:v>
      </x:c>
      <x:c r="B10" s="21" t="n">
        <x:f>COUNTIF('Tracker'!$V$2:$V$400,"Blocked")</x:f>
        <x:v>0</x:v>
      </x:c>
    </x:row>
    <x:row r="11" ht="22" customHeight="1"/>
    <x:row r="12" ht="40" customHeight="1">
      <x:c r="A12" s="26" t="str">
        <x:v>Use Tracker as the working sheet. Dashboard formulas summarize the current audit state automatically.</x:v>
      </x:c>
      <x:c r="B12" s="26"/>
      <x:c r="C12" s="26"/>
      <x:c r="D12" s="26"/>
      <x:c r="E12" s="26"/>
      <x:c r="F12" s="26"/>
    </x:row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</x:sheetData>
  <x:mergeCells>
    <x:mergeCell ref="A1:F1"/>
    <x:mergeCell ref="A12:F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28" t="str">
        <x:v>Allowed Status</x:v>
      </x:c>
      <x:c r="B1" s="28" t="str">
        <x:v>Allowed Severity</x:v>
      </x:c>
      <x:c r="C1" s="28" t="str">
        <x:v>Suggested Test Type</x:v>
      </x:c>
    </x:row>
    <x:row r="2">
      <x:c r="A2" s="29" t="str">
        <x:v>Not Reviewed</x:v>
      </x:c>
      <x:c r="B2" s="29" t="str">
        <x:v>Critical</x:v>
      </x:c>
      <x:c r="C2" s="29" t="str">
        <x:v>Code Review</x:v>
      </x:c>
    </x:row>
    <x:row r="3">
      <x:c r="A3" s="29" t="str">
        <x:v>Story Drafted</x:v>
      </x:c>
      <x:c r="B3" s="29" t="str">
        <x:v>High</x:v>
      </x:c>
      <x:c r="C3" s="29" t="str">
        <x:v>Manual UI</x:v>
      </x:c>
    </x:row>
    <x:row r="4">
      <x:c r="A4" s="29" t="str">
        <x:v>Ready For Test</x:v>
      </x:c>
      <x:c r="B4" s="29" t="str">
        <x:v>Medium</x:v>
      </x:c>
      <x:c r="C4" s="29" t="str">
        <x:v>Automated Test</x:v>
      </x:c>
    </x:row>
    <x:row r="5">
      <x:c r="A5" s="29" t="str">
        <x:v>Failed Test</x:v>
      </x:c>
      <x:c r="B5" s="29" t="str">
        <x:v>Low</x:v>
      </x:c>
      <x:c r="C5" s="29" t="str">
        <x:v>Smoke Test</x:v>
      </x:c>
    </x:row>
    <x:row r="6">
      <x:c r="A6" s="29" t="str">
        <x:v>Fix In Progress</x:v>
      </x:c>
      <x:c r="B6" s="29" t="str">
        <x:v>None</x:v>
      </x:c>
      <x:c r="C6" s="29" t="str">
        <x:v>Regression Test</x:v>
      </x:c>
    </x:row>
    <x:row r="7">
      <x:c r="A7" s="29" t="str">
        <x:v>Fixed</x:v>
      </x:c>
      <x:c r="B7" s="29"/>
      <x:c r="C7" s="29" t="str">
        <x:v>Accessibility Review</x:v>
      </x:c>
    </x:row>
    <x:row r="8">
      <x:c r="A8" s="29" t="str">
        <x:v>Retest Failed</x:v>
      </x:c>
      <x:c r="B8" s="29"/>
      <x:c r="C8" s="29" t="str">
        <x:v>Responsive Review</x:v>
      </x:c>
    </x:row>
    <x:row r="9">
      <x:c r="A9" s="29" t="str">
        <x:v>Verified</x:v>
      </x:c>
      <x:c r="B9" s="29"/>
      <x:c r="C9" s="29" t="str">
        <x:v>Integration Test</x:v>
      </x:c>
    </x:row>
    <x:row r="10">
      <x:c r="A10" s="29" t="str">
        <x:v>Blocked</x:v>
      </x:c>
      <x:c r="B10" s="29"/>
      <x:c r="C10" s="29"/>
    </x:row>
    <x:row r="11">
      <x:c r="A11" s="29" t="str">
        <x:v>Needs Product Decision</x:v>
      </x:c>
      <x:c r="B11" s="29"/>
      <x:c r="C11" s="29"/>
    </x:row>
    <x:row r="12">
      <x:c r="A12" s="29"/>
      <x:c r="B12" s="29"/>
      <x:c r="C12" s="2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8" hidden="0" customWidth="1"/>
  </x:cols>
  <x:sheetData>
    <x:row r="1" ht="22" customHeight="1">
      <x:c r="A1" s="18" t="str">
        <x:v>Feature QA Workbook Guide</x:v>
      </x:c>
      <x:c r="B1" s="18"/>
      <x:c r="C1" s="18"/>
      <x:c r="D1" s="18"/>
      <x:c r="E1" s="18"/>
      <x:c r="F1" s="18"/>
    </x:row>
    <x:row r="2" ht="22" customHeight="1"/>
    <x:row r="3" ht="22" customHeight="1">
      <x:c r="A3" s="32" t="str">
        <x:v>Step</x:v>
      </x:c>
      <x:c r="B3" s="32" t="str">
        <x:v>Instruction</x:v>
      </x:c>
    </x:row>
    <x:row r="4" ht="22" customHeight="1">
      <x:c r="A4" s="33" t="str">
        <x:v>1</x:v>
      </x:c>
      <x:c r="B4" s="36" t="str">
        <x:v>Keep Tracker as the single source of truth and do not create competing trackers.</x:v>
      </x:c>
    </x:row>
    <x:row r="5" ht="22" customHeight="1">
      <x:c r="A5" s="33" t="str">
        <x:v>2</x:v>
      </x:c>
      <x:c r="B5" s="36" t="str">
        <x:v>Create one row per user-visible feature or critical behavior. User stories describe how a user uses the feature, not how the implementation works.</x:v>
      </x:c>
    </x:row>
    <x:row r="6" ht="22" customHeight="1">
      <x:c r="A6" s="33" t="str">
        <x:v>3</x:v>
      </x:c>
      <x:c r="B6" s="36" t="str">
        <x:v>Use Status during discovery and testing, then use Final Status after retest.</x:v>
      </x:c>
    </x:row>
    <x:row r="7" ht="22" customHeight="1">
      <x:c r="A7" s="33" t="str">
        <x:v>4</x:v>
      </x:c>
      <x:c r="B7" s="36" t="str">
        <x:v>Record commit hashes in column S for any row touched by a fix or follow-up pass.</x:v>
      </x:c>
    </x:row>
    <x:row r="8" ht="22" customHeight="1">
      <x:c r="A8" s="33" t="str">
        <x:v>5</x:v>
      </x:c>
      <x:c r="B8" s="36" t="str">
        <x:v>Use Lists sheet values for Status, Severity, Test Type, and Final Status to keep reporting clean.</x:v>
      </x:c>
    </x:row>
    <x:row r="9" ht="22" customHeight="1">
      <x:c r="A9" s="33" t="str">
        <x:v>6</x:v>
      </x:c>
      <x:c r="B9" s="36" t="str">
        <x:v>Append a dated note to CHANGELOG.md after each completed QA or improvement pass.</x:v>
      </x:c>
    </x:row>
    <x:row r="10" ht="22" customHeight="1">
      <x:c r="A10" s="33" t="str">
        <x:v>7</x:v>
      </x:c>
      <x:c r="B10" s="36" t="str">
        <x:v>Keep the CSV, XLSX, and HTML companion aligned after every tracker update.</x:v>
      </x:c>
    </x:row>
    <x:row r="11" ht="22" customHeight="1">
      <x:c r="A11" s="33" t="str">
        <x:v>8</x:v>
      </x:c>
      <x:c r="B11" s="36" t="str">
        <x:v>Open the Dashboard tab for a quick pass/fail snapshot before closing the loop.</x:v>
      </x:c>
    </x:row>
    <x:row r="12" ht="22" customHeight="1"/>
  </x:sheetData>
  <x:mergeCells>
    <x:mergeCell ref="A1:F1"/>
  </x:mergeCells>
  <x:pageMargins left="0.7" right="0.7" top="0.75" bottom="0.75" header="0.3" footer="0.3"/>
</x:worksheet>
</file>